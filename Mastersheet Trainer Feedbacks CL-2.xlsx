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jvb/Downloads/"/>
    </mc:Choice>
  </mc:AlternateContent>
  <xr:revisionPtr revIDLastSave="0" documentId="13_ncr:1_{75E4D352-6AAD-F04A-979C-56467A40324B}" xr6:coauthVersionLast="47" xr6:coauthVersionMax="47" xr10:uidLastSave="{00000000-0000-0000-0000-000000000000}"/>
  <bookViews>
    <workbookView xWindow="0" yWindow="620" windowWidth="28800" windowHeight="17380" xr2:uid="{00000000-000D-0000-FFFF-FFFF00000000}"/>
  </bookViews>
  <sheets>
    <sheet name="Sheet1" sheetId="1" r:id="rId1"/>
  </sheets>
  <definedNames>
    <definedName name="_xlnm._FilterDatabase" localSheetId="0" hidden="1">Sheet1!$A$1:$R$493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98" i="1" l="1"/>
  <c r="P289" i="1"/>
  <c r="P282" i="1"/>
  <c r="P274" i="1"/>
  <c r="P266" i="1"/>
  <c r="P254" i="1"/>
  <c r="P253" i="1"/>
  <c r="K253" i="1"/>
  <c r="K252" i="1"/>
  <c r="K251" i="1"/>
  <c r="K250" i="1"/>
  <c r="K249" i="1"/>
  <c r="K248" i="1"/>
  <c r="K247" i="1"/>
  <c r="P246" i="1"/>
  <c r="K246" i="1"/>
  <c r="K245" i="1"/>
  <c r="K244" i="1"/>
  <c r="K243" i="1"/>
  <c r="P242" i="1"/>
  <c r="K242" i="1"/>
  <c r="L242" i="1" s="1"/>
  <c r="P241" i="1"/>
  <c r="L241" i="1"/>
  <c r="K241" i="1"/>
  <c r="K240" i="1"/>
  <c r="K239" i="1"/>
  <c r="K238" i="1"/>
  <c r="K237" i="1"/>
  <c r="K236" i="1"/>
  <c r="P235" i="1"/>
  <c r="K235" i="1"/>
  <c r="P234" i="1"/>
  <c r="K234" i="1"/>
  <c r="K233" i="1"/>
  <c r="K232" i="1"/>
  <c r="K231" i="1"/>
  <c r="K230" i="1"/>
  <c r="K229" i="1"/>
  <c r="P228" i="1"/>
  <c r="K228" i="1"/>
  <c r="P227" i="1"/>
  <c r="K227" i="1"/>
  <c r="K226" i="1"/>
  <c r="K225" i="1"/>
  <c r="K224" i="1"/>
  <c r="K223" i="1"/>
  <c r="K222" i="1"/>
  <c r="K221" i="1"/>
  <c r="P220" i="1"/>
  <c r="K220" i="1"/>
  <c r="K219" i="1"/>
  <c r="K218" i="1"/>
  <c r="K217" i="1"/>
  <c r="K216" i="1"/>
  <c r="K215" i="1"/>
  <c r="K214" i="1"/>
  <c r="P213" i="1"/>
  <c r="K213" i="1"/>
  <c r="K212" i="1"/>
  <c r="K211" i="1"/>
  <c r="K210" i="1"/>
  <c r="K209" i="1"/>
  <c r="K208" i="1"/>
  <c r="P207" i="1"/>
  <c r="K207" i="1"/>
  <c r="K206" i="1"/>
  <c r="K205" i="1"/>
  <c r="K204" i="1"/>
  <c r="K203" i="1"/>
  <c r="K202" i="1"/>
  <c r="K201" i="1"/>
  <c r="P200" i="1"/>
  <c r="K200" i="1"/>
  <c r="K199" i="1"/>
  <c r="K198" i="1"/>
  <c r="K197" i="1"/>
  <c r="K196" i="1"/>
  <c r="K195" i="1"/>
  <c r="P194" i="1"/>
  <c r="K194" i="1"/>
  <c r="P193" i="1"/>
  <c r="K193" i="1"/>
  <c r="K192" i="1"/>
  <c r="K191" i="1"/>
  <c r="K190" i="1"/>
  <c r="K189" i="1"/>
  <c r="K188" i="1"/>
  <c r="K187" i="1"/>
  <c r="K186" i="1"/>
  <c r="P185" i="1"/>
  <c r="K185" i="1"/>
  <c r="P184" i="1"/>
  <c r="K184" i="1"/>
  <c r="K183" i="1"/>
  <c r="K182" i="1"/>
  <c r="K181" i="1"/>
  <c r="K180" i="1"/>
  <c r="K179" i="1"/>
  <c r="K178" i="1"/>
  <c r="P177" i="1"/>
  <c r="K177" i="1"/>
  <c r="P176" i="1"/>
  <c r="K176" i="1"/>
  <c r="K175" i="1"/>
  <c r="K174" i="1"/>
  <c r="K173" i="1"/>
  <c r="K172" i="1"/>
  <c r="K171" i="1"/>
  <c r="K170" i="1"/>
  <c r="P169" i="1"/>
  <c r="K169" i="1"/>
  <c r="P168" i="1"/>
  <c r="K168" i="1"/>
  <c r="K167" i="1"/>
  <c r="K166" i="1"/>
  <c r="K165" i="1"/>
  <c r="K164" i="1"/>
  <c r="K163" i="1"/>
  <c r="K162" i="1"/>
  <c r="P161" i="1"/>
  <c r="K161" i="1"/>
  <c r="P160" i="1"/>
  <c r="K160" i="1"/>
  <c r="P159" i="1"/>
  <c r="K159" i="1"/>
  <c r="K158" i="1"/>
  <c r="K157" i="1"/>
  <c r="K156" i="1"/>
  <c r="K155" i="1"/>
  <c r="P154" i="1"/>
  <c r="K154" i="1"/>
  <c r="P153" i="1"/>
  <c r="K153" i="1"/>
  <c r="P152" i="1"/>
  <c r="K152" i="1"/>
  <c r="K151" i="1"/>
  <c r="K150" i="1"/>
  <c r="K149" i="1"/>
  <c r="K148" i="1"/>
  <c r="K147" i="1"/>
  <c r="P146" i="1"/>
  <c r="K146" i="1"/>
  <c r="P145" i="1"/>
  <c r="K145" i="1"/>
  <c r="P144" i="1"/>
  <c r="K144" i="1"/>
  <c r="K143" i="1"/>
  <c r="K142" i="1"/>
  <c r="K141" i="1"/>
  <c r="K140" i="1"/>
  <c r="K139" i="1"/>
  <c r="K138" i="1"/>
  <c r="P137" i="1"/>
  <c r="K137" i="1"/>
  <c r="P136" i="1"/>
  <c r="K136" i="1"/>
  <c r="P135" i="1"/>
  <c r="K135" i="1"/>
  <c r="K134" i="1"/>
  <c r="K133" i="1"/>
  <c r="K132" i="1"/>
  <c r="K131" i="1"/>
  <c r="K130" i="1"/>
  <c r="P129" i="1"/>
  <c r="K129" i="1"/>
  <c r="K128" i="1"/>
  <c r="K127" i="1"/>
  <c r="K126" i="1"/>
  <c r="K125" i="1"/>
  <c r="K124" i="1"/>
  <c r="K123" i="1"/>
  <c r="P122" i="1"/>
  <c r="K122" i="1"/>
  <c r="K121" i="1"/>
  <c r="K120" i="1"/>
  <c r="K119" i="1"/>
  <c r="K118" i="1"/>
  <c r="K117" i="1"/>
  <c r="K116" i="1"/>
  <c r="K115" i="1"/>
  <c r="P114" i="1"/>
  <c r="K114" i="1"/>
  <c r="K113" i="1"/>
  <c r="K112" i="1"/>
  <c r="K111" i="1"/>
  <c r="K110" i="1"/>
  <c r="K109" i="1"/>
  <c r="K108" i="1"/>
  <c r="K107" i="1"/>
  <c r="K106" i="1"/>
  <c r="P105" i="1"/>
  <c r="K105" i="1"/>
  <c r="K104" i="1"/>
  <c r="K103" i="1"/>
  <c r="K102" i="1"/>
  <c r="K101" i="1"/>
  <c r="K100" i="1"/>
  <c r="K99" i="1"/>
  <c r="K98" i="1"/>
  <c r="K97" i="1"/>
  <c r="P96" i="1"/>
  <c r="K96" i="1"/>
  <c r="K95" i="1"/>
  <c r="K94" i="1"/>
  <c r="K93" i="1"/>
  <c r="K92" i="1"/>
  <c r="P91" i="1"/>
  <c r="K91" i="1"/>
  <c r="K90" i="1"/>
  <c r="K89" i="1"/>
  <c r="P88" i="1"/>
  <c r="K88" i="1"/>
  <c r="P87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tc={0ef41311-8f59-4fd0-85d8-849117cb243f}</author>
    <author>tc={8bc2c522-67b1-44f4-8367-e1a1aea6449a}</author>
    <author>tc={0da8b3f8-a207-4ba5-9e7c-30278796eefe}</author>
    <author>tc={889ec3fb-9ede-4675-af7e-b5a0d7a97f2f}</author>
    <author>tc={26d1292c-bb90-41d1-a9cd-6a5d1ebd301f}</author>
    <author>tc={e5a82485-10b9-44b6-90b4-9536ef370841}</author>
    <author>tc={5f7cdb59-6423-41c1-a361-305ee258c2c4}</author>
    <author>tc={115957ab-df1b-4db7-88f2-d8c7a1672a98}</author>
    <author/>
    <author>tc={fe8338e4-bdb8-4019-9bb3-86c33f05981e}</author>
  </authors>
  <commentList>
    <comment ref="N91" authorId="0" shapeId="0" xr:uid="{0EF41311-8F59-4FD0-85D8-849117CB243F}">
      <text>
        <t>[Threaded comment]
Your version of Excel allows you to read this threaded comment; however, any edits to it will get removed if the file is opened in a newer version of Excel. Learn more: https://go.microsoft.com/fwlink/?linkid=870924
Comment:
    Session Ended</t>
      </text>
    </comment>
    <comment ref="N136" authorId="1" shapeId="0" xr:uid="{8BC2C522-67B1-44F4-8367-E1A1AEA6449A}">
      <text>
        <t>[Threaded comment]
Your version of Excel allows you to read this threaded comment; however, any edits to it will get removed if the file is opened in a newer version of Excel. Learn more: https://go.microsoft.com/fwlink/?linkid=870924
Comment:
    Session finished</t>
      </text>
    </comment>
    <comment ref="O137" authorId="2" shapeId="0" xr:uid="{0DA8B3F8-A207-4BA5-9E7C-30278796EEFE}">
      <text>
        <t>[Threaded comment]
Your version of Excel allows you to read this threaded comment; however, any edits to it will get removed if the file is opened in a newer version of Excel. Learn more: https://go.microsoft.com/fwlink/?linkid=870924
Comment:
    Session finished</t>
      </text>
    </comment>
    <comment ref="N146" authorId="3" shapeId="0" xr:uid="{889EC3FB-9EDE-4675-AF7E-B5A0D7A97F2F}">
      <text>
        <t>[Threaded comment]
Your version of Excel allows you to read this threaded comment; however, any edits to it will get removed if the file is opened in a newer version of Excel. Learn more: https://go.microsoft.com/fwlink/?linkid=870924
Comment:
    Session finished</t>
      </text>
    </comment>
    <comment ref="O153" authorId="4" shapeId="0" xr:uid="{26D1292C-BB90-41D1-A9CD-6A5D1EBD301F}">
      <text>
        <t>[Threaded comment]
Your version of Excel allows you to read this threaded comment; however, any edits to it will get removed if the file is opened in a newer version of Excel. Learn more: https://go.microsoft.com/fwlink/?linkid=870924
Comment:
    Session finished</t>
      </text>
    </comment>
    <comment ref="N168" authorId="5" shapeId="0" xr:uid="{E5A82485-10B9-44B6-90B4-9536EF370841}">
      <text>
        <t>[Threaded comment]
Your version of Excel allows you to read this threaded comment; however, any edits to it will get removed if the file is opened in a newer version of Excel. Learn more: https://go.microsoft.com/fwlink/?linkid=870924
Comment:
    Session finished</t>
      </text>
    </comment>
    <comment ref="N227" authorId="6" shapeId="0" xr:uid="{5F7CDB59-6423-41C1-A361-305EE258C2C4}">
      <text>
        <t>[Threaded comment]
Your version of Excel allows you to read this threaded comment; however, any edits to it will get removed if the file is opened in a newer version of Excel. Learn more: https://go.microsoft.com/fwlink/?linkid=870924
Comment:
    session finished</t>
      </text>
    </comment>
    <comment ref="N234" authorId="7" shapeId="0" xr:uid="{115957AB-DF1B-4DB7-88F2-D8C7A1672A98}">
      <text>
        <t>[Threaded comment]
Your version of Excel allows you to read this threaded comment; however, any edits to it will get removed if the file is opened in a newer version of Excel. Learn more: https://go.microsoft.com/fwlink/?linkid=870924
Comment:
    session finished</t>
      </text>
    </comment>
    <comment ref="C361" authorId="8" shapeId="0" xr:uid="{00000000-0006-0000-0000-000001000000}">
      <text>
        <r>
          <rPr>
            <sz val="10"/>
            <color rgb="FF000000"/>
            <rFont val="Arial"/>
            <scheme val="minor"/>
          </rPr>
          <t>Assignment form was shared, and the session duration was around 30 minutes</t>
        </r>
      </text>
    </comment>
    <comment ref="C451" authorId="9" shapeId="0" xr:uid="{FE8338E4-BDB8-4019-9BB3-86C33F05981E}">
      <text>
        <t>[Threaded comment]
Your version of Excel allows you to read this threaded comment; however, any edits to it will get removed if the file is opened in a newer version of Excel. Learn more: https://go.microsoft.com/fwlink/?linkid=870924
Comment:
    @yenimety.jayanth@houseofedtech.in this may be second session. can you pls check</t>
      </text>
    </comment>
  </commentList>
</comments>
</file>

<file path=xl/sharedStrings.xml><?xml version="1.0" encoding="utf-8"?>
<sst xmlns="http://schemas.openxmlformats.org/spreadsheetml/2006/main" count="2294" uniqueCount="420">
  <si>
    <t>Date</t>
  </si>
  <si>
    <t>Trainer</t>
  </si>
  <si>
    <t>Sessions</t>
  </si>
  <si>
    <t>Rec Link</t>
  </si>
  <si>
    <t>Batch</t>
  </si>
  <si>
    <t>Live/Simulive</t>
  </si>
  <si>
    <t>Overall rating</t>
  </si>
  <si>
    <t>Trainer rating</t>
  </si>
  <si>
    <t>Number of Responses</t>
  </si>
  <si>
    <t>Remarks</t>
  </si>
  <si>
    <t>Duration (hour)</t>
  </si>
  <si>
    <t>Duration (Minutes)</t>
  </si>
  <si>
    <t>Peak Attendance</t>
  </si>
  <si>
    <t>After 2hr Attendance</t>
  </si>
  <si>
    <t>After 1hr Attendance</t>
  </si>
  <si>
    <t>Retention</t>
  </si>
  <si>
    <t>Approved</t>
  </si>
  <si>
    <t>Payment Request Status</t>
  </si>
  <si>
    <t xml:space="preserve"> </t>
  </si>
  <si>
    <t>Bhavishya</t>
  </si>
  <si>
    <t>NLP 2</t>
  </si>
  <si>
    <t>LCP B43-46</t>
  </si>
  <si>
    <t>Simulive</t>
  </si>
  <si>
    <t>Nandini</t>
  </si>
  <si>
    <t>Agentic AI with Langchain using Python (11:00 AM)</t>
  </si>
  <si>
    <t>LCP B47-48 + AI CAP B1 (W1-W4)+AI CAP B2 (W1-W2)
AI CAP B3 (W1-W2)</t>
  </si>
  <si>
    <t>LIVE</t>
  </si>
  <si>
    <t>Varun Sahdev</t>
  </si>
  <si>
    <t>Make Money Using AI</t>
  </si>
  <si>
    <r>
      <rPr>
        <b/>
        <sz val="11"/>
        <color rgb="FF222222"/>
        <rFont val="Google Sans"/>
      </rPr>
      <t xml:space="preserve">AI CAP B5 </t>
    </r>
    <r>
      <rPr>
        <b/>
        <sz val="11"/>
        <color rgb="FFFF0000"/>
        <rFont val="Google Sans"/>
      </rPr>
      <t>[11:00 AM]</t>
    </r>
  </si>
  <si>
    <t>Prakhar + Isshita</t>
  </si>
  <si>
    <t>Job Hunting and Job Application Using AI - (Agentic Process)</t>
  </si>
  <si>
    <t>AI CAP B6</t>
  </si>
  <si>
    <t>Swapnil</t>
  </si>
  <si>
    <t>Customer Support Agent with RAG Part 2</t>
  </si>
  <si>
    <r>
      <rPr>
        <b/>
        <sz val="11"/>
        <color rgb="FF222222"/>
        <rFont val="Google Sans"/>
      </rPr>
      <t xml:space="preserve">AI CAP B7 </t>
    </r>
    <r>
      <rPr>
        <b/>
        <sz val="11"/>
        <color rgb="FFFF0000"/>
        <rFont val="Google Sans"/>
      </rPr>
      <t>[11:00 AM]</t>
    </r>
  </si>
  <si>
    <t>Project hrs: 4.65</t>
  </si>
  <si>
    <t>Harsha</t>
  </si>
  <si>
    <t>Build Your Own AI Employee Part 2</t>
  </si>
  <si>
    <t>AI CAP B8 7:30 PM</t>
  </si>
  <si>
    <t>Project hrs: 4.57</t>
  </si>
  <si>
    <t>AI Agents &amp; Automation with n8n</t>
  </si>
  <si>
    <r>
      <rPr>
        <b/>
        <sz val="11"/>
        <color rgb="FF222222"/>
        <rFont val="Google Sans"/>
      </rPr>
      <t xml:space="preserve">CAP B9 </t>
    </r>
    <r>
      <rPr>
        <b/>
        <sz val="11"/>
        <color rgb="FFFF0000"/>
        <rFont val="Google Sans"/>
      </rPr>
      <t>[11:00 AM]</t>
    </r>
  </si>
  <si>
    <t>Project hrs: 4.78</t>
  </si>
  <si>
    <t>Workflow Automation with Make</t>
  </si>
  <si>
    <t>AI CAP B10 7:30 PM</t>
  </si>
  <si>
    <t>Project hrs: 4.84</t>
  </si>
  <si>
    <t>Isshita</t>
  </si>
  <si>
    <t xml:space="preserve">Linkedin optimisation with AI </t>
  </si>
  <si>
    <r>
      <rPr>
        <b/>
        <sz val="11"/>
        <color rgb="FF222222"/>
        <rFont val="Google Sans"/>
      </rPr>
      <t xml:space="preserve">AI CAP B11 </t>
    </r>
    <r>
      <rPr>
        <b/>
        <sz val="11"/>
        <color rgb="FFFF0000"/>
        <rFont val="Google Sans"/>
      </rPr>
      <t>11:00 AM</t>
    </r>
  </si>
  <si>
    <t xml:space="preserve">Aman </t>
  </si>
  <si>
    <t>AI tools for research work &amp; 10x Productivity</t>
  </si>
  <si>
    <t>AI CAP B12 7:30 PM</t>
  </si>
  <si>
    <t>NLP 1</t>
  </si>
  <si>
    <t>Agentic AI with CrewAI using Python</t>
  </si>
  <si>
    <t>Kevin</t>
  </si>
  <si>
    <t>Hackathon Intro Call</t>
  </si>
  <si>
    <t>AI CAP B4</t>
  </si>
  <si>
    <t>Shagun</t>
  </si>
  <si>
    <t>AI in Leadership &amp; Team Management</t>
  </si>
  <si>
    <r>
      <rPr>
        <b/>
        <sz val="11"/>
        <color rgb="FF222222"/>
        <rFont val="Google Sans"/>
      </rPr>
      <t xml:space="preserve">AI CAP B5 </t>
    </r>
    <r>
      <rPr>
        <b/>
        <sz val="11"/>
        <color rgb="FFFF0000"/>
        <rFont val="Google Sans"/>
      </rPr>
      <t>[11:00 AM]</t>
    </r>
  </si>
  <si>
    <t>ATS Friendly Resume Writing + Interview Preparation Using AI</t>
  </si>
  <si>
    <t>Customer Support Agent with RAG Part 1</t>
  </si>
  <si>
    <r>
      <rPr>
        <b/>
        <sz val="11"/>
        <color rgb="FF222222"/>
        <rFont val="Google Sans"/>
      </rPr>
      <t xml:space="preserve">AI CAP B7 </t>
    </r>
    <r>
      <rPr>
        <b/>
        <sz val="11"/>
        <color rgb="FFFF0000"/>
        <rFont val="Google Sans"/>
      </rPr>
      <t>[11:00 AM]</t>
    </r>
  </si>
  <si>
    <t>Build Your Own AI Employee Part 1</t>
  </si>
  <si>
    <t xml:space="preserve">Data Visualisation with AI using PBI </t>
  </si>
  <si>
    <r>
      <rPr>
        <b/>
        <sz val="11"/>
        <color rgb="FF222222"/>
        <rFont val="Google Sans"/>
      </rPr>
      <t xml:space="preserve">CAP B9 </t>
    </r>
    <r>
      <rPr>
        <b/>
        <sz val="11"/>
        <color rgb="FFFF0000"/>
        <rFont val="Google Sans"/>
      </rPr>
      <t>[11:00 AM]</t>
    </r>
  </si>
  <si>
    <t>Present Like a Pro: AI-Powered Decks &amp; Storytelling</t>
  </si>
  <si>
    <t>Prakhar</t>
  </si>
  <si>
    <t>10x Productivity at Work with Claude</t>
  </si>
  <si>
    <r>
      <rPr>
        <b/>
        <sz val="11"/>
        <color rgb="FF222222"/>
        <rFont val="Google Sans"/>
      </rPr>
      <t xml:space="preserve">AI CAP B11 </t>
    </r>
    <r>
      <rPr>
        <b/>
        <sz val="11"/>
        <color rgb="FFFF0000"/>
        <rFont val="Google Sans"/>
      </rPr>
      <t>11:00 AM</t>
    </r>
  </si>
  <si>
    <t>The AI Generalist Mindset &amp; Generative AI Ecosystem Deep Dive</t>
  </si>
  <si>
    <t>Deep Learning Session 2</t>
  </si>
  <si>
    <t>RAGs and LangChain Part 2</t>
  </si>
  <si>
    <t>Business Communication with AI</t>
  </si>
  <si>
    <r>
      <rPr>
        <b/>
        <sz val="11"/>
        <color rgb="FF222222"/>
        <rFont val="Google Sans"/>
      </rPr>
      <t xml:space="preserve">AI CAP B5 </t>
    </r>
    <r>
      <rPr>
        <b/>
        <sz val="11"/>
        <color rgb="FFFF0000"/>
        <rFont val="Google Sans"/>
      </rPr>
      <t>[11:00 AM]</t>
    </r>
  </si>
  <si>
    <t>Project hrs: 4.68</t>
  </si>
  <si>
    <t>Shubham</t>
  </si>
  <si>
    <t>Smart Real-Time Voice Agents &amp; MCP Part 2</t>
  </si>
  <si>
    <r>
      <rPr>
        <b/>
        <sz val="11"/>
        <color rgb="FF222222"/>
        <rFont val="Google Sans"/>
      </rPr>
      <t xml:space="preserve">AI CAP B7 </t>
    </r>
    <r>
      <rPr>
        <b/>
        <sz val="11"/>
        <color rgb="FFFF0000"/>
        <rFont val="Google Sans"/>
      </rPr>
      <t>[11:00 AM]</t>
    </r>
  </si>
  <si>
    <t>Project hrs: 4.89</t>
  </si>
  <si>
    <t>Aman</t>
  </si>
  <si>
    <t>Data Analysis with AI using Excel (numerous / automation) Part 2</t>
  </si>
  <si>
    <r>
      <rPr>
        <b/>
        <sz val="11"/>
        <color rgb="FF222222"/>
        <rFont val="Google Sans"/>
      </rPr>
      <t xml:space="preserve">CAP B9 </t>
    </r>
    <r>
      <rPr>
        <b/>
        <sz val="11"/>
        <color rgb="FFFF0000"/>
        <rFont val="Google Sans"/>
      </rPr>
      <t>[11:00 AM]</t>
    </r>
  </si>
  <si>
    <t>Product Building &amp; Tech 101</t>
  </si>
  <si>
    <t>Check project hr in recording</t>
  </si>
  <si>
    <r>
      <rPr>
        <b/>
        <sz val="11"/>
        <color rgb="FF222222"/>
        <rFont val="Google Sans"/>
      </rPr>
      <t xml:space="preserve">AI CAP B11 </t>
    </r>
    <r>
      <rPr>
        <b/>
        <sz val="11"/>
        <color rgb="FFFF0000"/>
        <rFont val="Google Sans"/>
      </rPr>
      <t>11:00 AM</t>
    </r>
  </si>
  <si>
    <t>Deep Learning Session 1</t>
  </si>
  <si>
    <t>RAGs and LangChain Part 1</t>
  </si>
  <si>
    <t>AI Powered Image &amp; Video Generation</t>
  </si>
  <si>
    <r>
      <rPr>
        <b/>
        <sz val="11"/>
        <color rgb="FF222222"/>
        <rFont val="Google Sans"/>
      </rPr>
      <t xml:space="preserve">AI CAP B5 </t>
    </r>
    <r>
      <rPr>
        <b/>
        <sz val="11"/>
        <color rgb="FFFF0000"/>
        <rFont val="Google Sans"/>
      </rPr>
      <t>[11:00 AM]</t>
    </r>
  </si>
  <si>
    <t>Project hrs: 4.69</t>
  </si>
  <si>
    <t>Smart Real-Time Voice Agents &amp; MCP Part 1</t>
  </si>
  <si>
    <r>
      <rPr>
        <b/>
        <sz val="11"/>
        <color rgb="FF222222"/>
        <rFont val="Google Sans"/>
      </rPr>
      <t xml:space="preserve">AI CAP B7 </t>
    </r>
    <r>
      <rPr>
        <b/>
        <sz val="11"/>
        <color rgb="FFFF0000"/>
        <rFont val="Google Sans"/>
      </rPr>
      <t>[11:00 AM]</t>
    </r>
  </si>
  <si>
    <t>Data Analysis with AI using Excel (numerous / automation) Part 1</t>
  </si>
  <si>
    <r>
      <rPr>
        <b/>
        <sz val="11"/>
        <color rgb="FF222222"/>
        <rFont val="Google Sans"/>
      </rPr>
      <t xml:space="preserve">CAP B9 </t>
    </r>
    <r>
      <rPr>
        <b/>
        <sz val="11"/>
        <color rgb="FFFF0000"/>
        <rFont val="Google Sans"/>
      </rPr>
      <t>[11:00 AM]</t>
    </r>
  </si>
  <si>
    <t>LinkedIn optimisation with AI</t>
  </si>
  <si>
    <r>
      <rPr>
        <b/>
        <sz val="11"/>
        <color rgb="FF222222"/>
        <rFont val="Google Sans"/>
      </rPr>
      <t xml:space="preserve">AI CAP B11 </t>
    </r>
    <r>
      <rPr>
        <b/>
        <sz val="11"/>
        <color rgb="FFFF0000"/>
        <rFont val="Google Sans"/>
      </rPr>
      <t>11:00 AM</t>
    </r>
  </si>
  <si>
    <t>Anushka</t>
  </si>
  <si>
    <t>Machine learning Session 4</t>
  </si>
  <si>
    <t>AI in Cybersecurity</t>
  </si>
  <si>
    <t>LCP B47-48 + AI CAP B1</t>
  </si>
  <si>
    <t>SQL for Data Management Using AI Session 2</t>
  </si>
  <si>
    <t>AI CAP B2 (W1-W2) 11:00 AM</t>
  </si>
  <si>
    <t xml:space="preserve">AI CAP B5 </t>
  </si>
  <si>
    <t xml:space="preserve">AI CAP B7 </t>
  </si>
  <si>
    <t>Project hrs: 4.76</t>
  </si>
  <si>
    <t xml:space="preserve">AI CAP B8 </t>
  </si>
  <si>
    <t>Disha</t>
  </si>
  <si>
    <t xml:space="preserve">CAP B9 </t>
  </si>
  <si>
    <t>Generative AI Ecosystem Deep Dive + Research work using AI</t>
  </si>
  <si>
    <t>AI CAP B10</t>
  </si>
  <si>
    <t>Machine learning Session 3</t>
  </si>
  <si>
    <t>AI in Education</t>
  </si>
  <si>
    <t>SQL for Data Management Using AI Session 1</t>
  </si>
  <si>
    <t>AI CAP B2 (W1-W2)</t>
  </si>
  <si>
    <t>Hackathon Solution</t>
  </si>
  <si>
    <t>AI CAP B3 (W1-W2)</t>
  </si>
  <si>
    <t>AI CAP B5</t>
  </si>
  <si>
    <t>Project hrs: 4.42</t>
  </si>
  <si>
    <t>AI CAP B8</t>
  </si>
  <si>
    <t>CAP B9</t>
  </si>
  <si>
    <t>Project hrs: 4.74</t>
  </si>
  <si>
    <t xml:space="preserve">The AI Generalist Mindset </t>
  </si>
  <si>
    <t>Machine learning Session 2</t>
  </si>
  <si>
    <t>Deepesh</t>
  </si>
  <si>
    <t>AI in Finance &amp; Accounting</t>
  </si>
  <si>
    <t>LCP B47-48 + AI CAP B1 (W1-W4)</t>
  </si>
  <si>
    <t>AI hackathon Solution</t>
  </si>
  <si>
    <t xml:space="preserve">AI CAP B2 (W1-W2) </t>
  </si>
  <si>
    <t>Project hrs: 4.81</t>
  </si>
  <si>
    <t>Project hrs: 4.44</t>
  </si>
  <si>
    <t>Abhishek RP</t>
  </si>
  <si>
    <t>AI CAP B7</t>
  </si>
  <si>
    <t>Project hrs: 3.42</t>
  </si>
  <si>
    <t xml:space="preserve">Anushka </t>
  </si>
  <si>
    <t>Machine learning Session 1</t>
  </si>
  <si>
    <t>Anushree</t>
  </si>
  <si>
    <t>ATS Friendly Resume Writing + Interview Skills</t>
  </si>
  <si>
    <t>Project hrs: 4.79</t>
  </si>
  <si>
    <t>LCP B37-42</t>
  </si>
  <si>
    <t>Gargi</t>
  </si>
  <si>
    <t>AI-Driven Product Management &amp; Strategy</t>
  </si>
  <si>
    <t>Python Using AI (Replit, Google Colab) 2</t>
  </si>
  <si>
    <t>LCP B43-46 + AI CAP B2</t>
  </si>
  <si>
    <t>Customer Support Agent with RAG</t>
  </si>
  <si>
    <t xml:space="preserve">AI CAP B4 </t>
  </si>
  <si>
    <t>Python Using AI Part 1</t>
  </si>
  <si>
    <t>LCP B43-46 +AI CAP B2</t>
  </si>
  <si>
    <t>LCP B47-48 + AI CAP B1 + AI CAP B4 + AI CAP B8</t>
  </si>
  <si>
    <t>Data Visualisation with AI using PBI</t>
  </si>
  <si>
    <t>Shashank</t>
  </si>
  <si>
    <t>AI in CyberSecurity</t>
  </si>
  <si>
    <t>AI ROI &amp; Strategy– Turning What You’ve Built into Business Impact</t>
  </si>
  <si>
    <t>AI CAP B3</t>
  </si>
  <si>
    <t>Jagriti</t>
  </si>
  <si>
    <t>AI in Legal</t>
  </si>
  <si>
    <t>AI hackathon Intro Call</t>
  </si>
  <si>
    <t>LCP B33-36</t>
  </si>
  <si>
    <t xml:space="preserve">AI Powered Designing </t>
  </si>
  <si>
    <t>Interview Preparation Using AI</t>
  </si>
  <si>
    <t xml:space="preserve">AI in Leadership &amp; Team Management        </t>
  </si>
  <si>
    <t>90min Isshita Part</t>
  </si>
  <si>
    <t>AI in Supply Chain &amp; Operations</t>
  </si>
  <si>
    <t>LCP B43-46 + LCP B47-48 + AI CAP B1 (W1-W4)</t>
  </si>
  <si>
    <t>145 min Teaching + 135 min Project Hours</t>
  </si>
  <si>
    <t>Anshika</t>
  </si>
  <si>
    <t>AI in Sales &amp; CRM Automation</t>
  </si>
  <si>
    <t>Varun Deo</t>
  </si>
  <si>
    <t>AI in Marketing &amp; Personalization</t>
  </si>
  <si>
    <t>LCP B43-46+ LCP B47-48 + AI CAP B1 (W1-W4)</t>
  </si>
  <si>
    <t>Yash</t>
  </si>
  <si>
    <t>Python Using AI (ML Pre-requisite)</t>
  </si>
  <si>
    <t>Product Management</t>
  </si>
  <si>
    <t>https://vimeo.com/1149800826/f2338bf19f?share=copy&amp;fl=sv&amp;fe=ci</t>
  </si>
  <si>
    <t>AI-Powered Designing</t>
  </si>
  <si>
    <t>AI CAP B2-3 (W1-W2)</t>
  </si>
  <si>
    <t>https://vimeo.com/1151054763/38f6020de2?share=copy&amp;fl=cl&amp;fe=ci</t>
  </si>
  <si>
    <t>https://vimeo.com/1147959193/28ee25384a?share=copy&amp;fl=sv&amp;fe=ci</t>
  </si>
  <si>
    <t>AI-Powered Software Testing &amp; Automation Session 2</t>
  </si>
  <si>
    <t>https://vimeo.com/1134851268/b08ed37a81?share=copy&amp;fl=sv&amp;fe=ci</t>
  </si>
  <si>
    <t>LCP B37-42+LCP B47-48 + AI CAP B1 (W1-W4)</t>
  </si>
  <si>
    <t>LIVE (11 AM)</t>
  </si>
  <si>
    <t>Product Thinking &amp; AI Innovation</t>
  </si>
  <si>
    <t>https://vimeo.com/1151050692/c949bb6c32?share=copy&amp;fl=cl&amp;fe=ci</t>
  </si>
  <si>
    <t>https://vimeo.com/1146037587/b036620ca8?share=copy&amp;fl=cl&amp;fe=ci</t>
  </si>
  <si>
    <t>https://vimeo.com/1149614808/09af52a018?share=copy&amp;fl=sv&amp;fe=ci</t>
  </si>
  <si>
    <t>Live</t>
  </si>
  <si>
    <t>AI-Powered Software Testing &amp; Automation Session 1</t>
  </si>
  <si>
    <t>https://vimeo.com/1149630067/efa870cff9?share=copy&amp;fl=sv&amp;fe=ci</t>
  </si>
  <si>
    <t>Live(11 AM)</t>
  </si>
  <si>
    <t>https://vimeo.com/1149437762/57926bedfa?share=copy&amp;fl=sv&amp;fe=ci</t>
  </si>
  <si>
    <t>https://vimeo.com/1149280959/a7eca0ec70?share=copy&amp;fl=sv&amp;fe=ci</t>
  </si>
  <si>
    <t>AI Ethics, Bias &amp; Responsible AI</t>
  </si>
  <si>
    <t>AI-Powered App Development (Prompt-to-App)</t>
  </si>
  <si>
    <t>https://vimeo.com/1146037587/b036620ca8?share=copy&amp;amp;fl=sv&amp;amp;fe=ci</t>
  </si>
  <si>
    <t>https://vimeo.com/1148300889/e2a41a32b7?share=copy&amp;fl=cl&amp;fe=ci</t>
  </si>
  <si>
    <t>AI-Powered Web Development (GitHub Pages site) Session 3</t>
  </si>
  <si>
    <t>AI-Powered Web App Development (Prompt-to-App) Part 2</t>
  </si>
  <si>
    <t>Prompt engineering</t>
  </si>
  <si>
    <t>https://vimeo.com/1148409599/6fa9055b8f?share=copy&amp;fl=cl&amp;fe=ci</t>
  </si>
  <si>
    <t>LCP B20-29-32 IC</t>
  </si>
  <si>
    <t>AI-Powered Web Development (GitHub Pages site) Session 2</t>
  </si>
  <si>
    <t>AI-Powered Web Development (GitHub Pages site) Part 1</t>
  </si>
  <si>
    <t>ATS Friendly Resume</t>
  </si>
  <si>
    <t>AI-Powered Web Development (GitHub Pages site) Session 1</t>
  </si>
  <si>
    <t>AI Powered Business Analytics</t>
  </si>
  <si>
    <t>AI CAP B2-B3</t>
  </si>
  <si>
    <t>Sakshi</t>
  </si>
  <si>
    <t>Linkedin optimisation with AI</t>
  </si>
  <si>
    <t>AI CAP B4-B5</t>
  </si>
  <si>
    <t>Python Using AI (Replit, Google Colab) Session 5</t>
  </si>
  <si>
    <t>Python Using AI Session 2</t>
  </si>
  <si>
    <t>LCP B33-36, B47-48 + AI CAP B1</t>
  </si>
  <si>
    <t>Trisha</t>
  </si>
  <si>
    <t>Data Analysis with AI using Excel (numerous / automation)</t>
  </si>
  <si>
    <t xml:space="preserve">AI CAP B2-B3 </t>
  </si>
  <si>
    <t>Interview Skills</t>
  </si>
  <si>
    <t>B15-19</t>
  </si>
  <si>
    <t>B20-32</t>
  </si>
  <si>
    <t>https://vimeo.com/1144238280/4273a6b004?share=copy&amp;fl=sv&amp;fe=ci</t>
  </si>
  <si>
    <t>B37-42</t>
  </si>
  <si>
    <t>Python Using AI (Replit, Google Colab) Session 4</t>
  </si>
  <si>
    <t>https://vimeo.com/1144230297/996591e098?share=copy&amp;fl=sv&amp;fe=ci</t>
  </si>
  <si>
    <t>B43-46</t>
  </si>
  <si>
    <t>Python Using AI (Replit, Google Colab)</t>
  </si>
  <si>
    <t>B33-36 + B47-48, CAP B1</t>
  </si>
  <si>
    <t>CAP B5</t>
  </si>
  <si>
    <t>Cyber Security</t>
  </si>
  <si>
    <t>B33-36</t>
  </si>
  <si>
    <t>Python Using AI (Replit, Google Colab) Session 3</t>
  </si>
  <si>
    <t>https://vimeo.com/1144068243/9c32e4c115?share=copy&amp;fl=sv&amp;fe=ci</t>
  </si>
  <si>
    <t>SQL for Data Management Using AI</t>
  </si>
  <si>
    <t>B47-48,CAP B1</t>
  </si>
  <si>
    <t>30th November 2025</t>
  </si>
  <si>
    <t>Ashneer Grover</t>
  </si>
  <si>
    <t>Celebrity Session</t>
  </si>
  <si>
    <t>All Batches</t>
  </si>
  <si>
    <t>29th November 2025</t>
  </si>
  <si>
    <t>Python Using AI (Replit, Google Colab) Session 2</t>
  </si>
  <si>
    <t>https://vimeo.com/1141602652/aa022d4e04?share=copy&amp;fl=sv&amp;fe=ci</t>
  </si>
  <si>
    <t>B47-48, AI CAP B1 - B3</t>
  </si>
  <si>
    <t>23rd November 2025</t>
  </si>
  <si>
    <r>
      <rPr>
        <b/>
        <sz val="11"/>
        <color theme="1"/>
        <rFont val="Roboto"/>
      </rPr>
      <t xml:space="preserve">Deep Learning Session 2 </t>
    </r>
    <r>
      <rPr>
        <b/>
        <sz val="11"/>
        <color rgb="FFFF0000"/>
        <rFont val="Roboto"/>
      </rPr>
      <t>(11:00AM)</t>
    </r>
  </si>
  <si>
    <r>
      <rPr>
        <b/>
        <sz val="11"/>
        <color theme="1"/>
        <rFont val="Roboto"/>
      </rPr>
      <t xml:space="preserve">Machine learning Session 2 </t>
    </r>
    <r>
      <rPr>
        <b/>
        <sz val="11"/>
        <color rgb="FFFF0000"/>
        <rFont val="Roboto"/>
      </rPr>
      <t>(11:00AM)</t>
    </r>
  </si>
  <si>
    <t>EXCEL with AI: Data &amp; Automation Mastery</t>
  </si>
  <si>
    <t>B47-48, AI CAP B1 W1-W4</t>
  </si>
  <si>
    <t xml:space="preserve">AI CAP B2 - B3 </t>
  </si>
  <si>
    <t>22nd November 2025</t>
  </si>
  <si>
    <t>Updates in world of AI</t>
  </si>
  <si>
    <t>AI CAP B2 - B3</t>
  </si>
  <si>
    <t>AI-Powered App Development (Prompt-to-App) Session 2</t>
  </si>
  <si>
    <t>AI-Powered App Development (Prompt-to-App) Session 1</t>
  </si>
  <si>
    <t>Python Using AI (Replit, Google Colab) Session 1</t>
  </si>
  <si>
    <t>Generative AI Ecosystem Deep Dive + Research work</t>
  </si>
  <si>
    <t xml:space="preserve">Machine learning Session 3 </t>
  </si>
  <si>
    <t>ATS Friendly Resume Writing</t>
  </si>
  <si>
    <t>LCP B39-42</t>
  </si>
  <si>
    <t>SIMULIVE</t>
  </si>
  <si>
    <t>8th November 2025</t>
  </si>
  <si>
    <t xml:space="preserve">Interview Skill </t>
  </si>
  <si>
    <t>B 9-14</t>
  </si>
  <si>
    <t>AI-Powered Business Analytics Session 2</t>
  </si>
  <si>
    <t>The AI Generalist Mindset and deep dive into common AI tools</t>
  </si>
  <si>
    <t>No Code App</t>
  </si>
  <si>
    <t>Satvik</t>
  </si>
  <si>
    <t>B37-38</t>
  </si>
  <si>
    <t>AI-Powered Business Analytics Session 1</t>
  </si>
  <si>
    <t>Power BI Session 3</t>
  </si>
  <si>
    <t>AI for Career Growth and Personal Branding</t>
  </si>
  <si>
    <t>B9-11,  B47-48, AI CAP B1 W1-W4</t>
  </si>
  <si>
    <t>Linkedin optimisation with AI + ATS friendly resumes + Job hunting with AI</t>
  </si>
  <si>
    <t>AI CAP B2</t>
  </si>
  <si>
    <t>Power BI Session 2</t>
  </si>
  <si>
    <t>AI-driven Image &amp; Video Manipulation &amp; Voice Clone Generation</t>
  </si>
  <si>
    <t>Research work using AI</t>
  </si>
  <si>
    <t xml:space="preserve">Shashank </t>
  </si>
  <si>
    <t>AI in Cyber Security Session 2</t>
  </si>
  <si>
    <t>Power BI Session 1</t>
  </si>
  <si>
    <t>Generative AI Ecosystem Deep Dive</t>
  </si>
  <si>
    <t>Customer Support Agent</t>
  </si>
  <si>
    <t>AI in CyberSecurity Session 1</t>
  </si>
  <si>
    <t>EXCEL with AI: Data &amp; Automation Mastery Session 2</t>
  </si>
  <si>
    <t>B45-46</t>
  </si>
  <si>
    <t>Smart Real-Time Voice Agents</t>
  </si>
  <si>
    <t>The AI Generalist Mindset and Prompt Mastery</t>
  </si>
  <si>
    <t>MCP</t>
  </si>
  <si>
    <t>AI Powered Business Analytics Session 2</t>
  </si>
  <si>
    <t>B37-38, B43-44</t>
  </si>
  <si>
    <t>EXCEL with AI: Data &amp; Automation Mastery Session 1</t>
  </si>
  <si>
    <t>Create Your First AI Employee with Google Integration</t>
  </si>
  <si>
    <t>B20-28</t>
  </si>
  <si>
    <t>ATS-Friendly Resume + Video Resume</t>
  </si>
  <si>
    <t>B29-32</t>
  </si>
  <si>
    <t>Khushi</t>
  </si>
  <si>
    <t>AI Powered Business Analytics Session 1</t>
  </si>
  <si>
    <t>B39-42</t>
  </si>
  <si>
    <t>Vidhi</t>
  </si>
  <si>
    <t>POWERPOINT with AI: Design &amp; Storytelling</t>
  </si>
  <si>
    <t>Automation and AI Agent Intro with N8N</t>
  </si>
  <si>
    <t xml:space="preserve">Business Communication with AI </t>
  </si>
  <si>
    <t>B29-46</t>
  </si>
  <si>
    <t>Ratings was declined to 4.56 and 4.47</t>
  </si>
  <si>
    <t>Automation Workflows with Make</t>
  </si>
  <si>
    <t>Working with n8n Session 2</t>
  </si>
  <si>
    <t>B76-88 + LCP B1-B8</t>
  </si>
  <si>
    <t>Working with n8n Session 1</t>
  </si>
  <si>
    <t>Working with N8N session 3</t>
  </si>
  <si>
    <t>B76 to B8 &amp; B29-46</t>
  </si>
  <si>
    <t>Personal Branding</t>
  </si>
  <si>
    <t>B9-11,  B47-48</t>
  </si>
  <si>
    <t>Introduction to the Generative AI Ecosystem</t>
  </si>
  <si>
    <t>AI CAP B1 W1-W4</t>
  </si>
  <si>
    <t>B 15 -19 IC</t>
  </si>
  <si>
    <t>Mudit</t>
  </si>
  <si>
    <t>Working with N8N session 1</t>
  </si>
  <si>
    <t>B76- B8</t>
  </si>
  <si>
    <t>Updates in the world Of AI</t>
  </si>
  <si>
    <t>AI CAP B1 W1,W2</t>
  </si>
  <si>
    <t>Business communication</t>
  </si>
  <si>
    <t xml:space="preserve">Live </t>
  </si>
  <si>
    <t>⁠Agentic RAG</t>
  </si>
  <si>
    <t>B 20-28 IC</t>
  </si>
  <si>
    <t>Vaibhav</t>
  </si>
  <si>
    <t>AI Automation Workflows with Make.com</t>
  </si>
  <si>
    <t>LEADERSHIP &amp; TEAM MANAGEMENT</t>
  </si>
  <si>
    <t>Agentic AI Level  1 (Part 2)</t>
  </si>
  <si>
    <t>B 29-46</t>
  </si>
  <si>
    <t>Research Work using AI (Elicit, Scite, etc.)</t>
  </si>
  <si>
    <t>B 47-48</t>
  </si>
  <si>
    <t>Agentic AI homework step-by-step walkthrough</t>
  </si>
  <si>
    <t>Agentic AI Level  1</t>
  </si>
  <si>
    <r>
      <rPr>
        <b/>
        <u/>
        <sz val="11"/>
        <rFont val="Roboto"/>
      </rPr>
      <t xml:space="preserve">AI Automation Workflows with </t>
    </r>
    <r>
      <rPr>
        <b/>
        <u/>
        <sz val="11"/>
        <color rgb="FF1155CC"/>
        <rFont val="Roboto"/>
      </rPr>
      <t>Make.com</t>
    </r>
  </si>
  <si>
    <t>AG</t>
  </si>
  <si>
    <t>Day-to-Day Productivity Boost using AI Session 1</t>
  </si>
  <si>
    <t>Working with N8N session 4</t>
  </si>
  <si>
    <t>RAGs and LangChain Session 3</t>
  </si>
  <si>
    <t>B 33-36, 39-40</t>
  </si>
  <si>
    <t>B 37-38</t>
  </si>
  <si>
    <t>B 41-42</t>
  </si>
  <si>
    <t>B 43-44</t>
  </si>
  <si>
    <t>Personal Branding with AI Session 1</t>
  </si>
  <si>
    <t>B 45-46</t>
  </si>
  <si>
    <t>Prompt Engineering</t>
  </si>
  <si>
    <t>RAGs and LangChain Session 2</t>
  </si>
  <si>
    <t>Mastering Tech &amp; Non-Tech Interviews Session 2</t>
  </si>
  <si>
    <t>B 29-32</t>
  </si>
  <si>
    <t>POWER BI with AI Session 3</t>
  </si>
  <si>
    <t>LinkedIn using AI (Taplio, ChatGPT + Zapier)</t>
  </si>
  <si>
    <t>AK</t>
  </si>
  <si>
    <t>Intro to GenAI</t>
  </si>
  <si>
    <t>N8N session 2</t>
  </si>
  <si>
    <t>Mastering Tech &amp; Non-Tech Interviews Session 1</t>
  </si>
  <si>
    <t>Sahil</t>
  </si>
  <si>
    <t>AI-Powered Business Analytics Session 3</t>
  </si>
  <si>
    <t>B 33-36</t>
  </si>
  <si>
    <t>B 39-40</t>
  </si>
  <si>
    <t>POWER BI with AI Session 2</t>
  </si>
  <si>
    <t>POWERPOINT with AI: Design &amp; Storytelling Session 1</t>
  </si>
  <si>
    <t>Research Work Using AI</t>
  </si>
  <si>
    <t>N8N session 1</t>
  </si>
  <si>
    <t>RAGs and LangChain Session 1</t>
  </si>
  <si>
    <t>AI-Powered Software Testing &amp; Automation Session 3</t>
  </si>
  <si>
    <t>POWER BI with AI Session 1</t>
  </si>
  <si>
    <t>Job Hunting using AI</t>
  </si>
  <si>
    <t>No-Code Apps with AI (Bubble, OpenAI API, Streamlit)</t>
  </si>
  <si>
    <t>Building GenAI apps using Groq and Streamlit</t>
  </si>
  <si>
    <t>Build your first Generative AI application</t>
  </si>
  <si>
    <t>Introduction to Generative AI</t>
  </si>
  <si>
    <t>AI Automation Workflows with zapier</t>
  </si>
  <si>
    <t>How GenAI Works</t>
  </si>
  <si>
    <t xml:space="preserve">AI Automation Workflows with Make.com </t>
  </si>
  <si>
    <t>Sachin</t>
  </si>
  <si>
    <t>Rating 5 → 118
Rating 4 → 36
Rating 3 → 7
Rating 2 → 3
Rating 1 → 2</t>
  </si>
  <si>
    <t>Rating 5 → 118
Rating 4 → 33
Rating 3 → 14
Rating 2 → 1
Rating 1 → 1</t>
  </si>
  <si>
    <t>Agentic Al Intro+ Bridging the Gap</t>
  </si>
  <si>
    <t xml:space="preserve">Rating 5 → 20
Rating 4 → 4
Rating 3 → 3
Rating 2 → 0
Rating 1 → 1 </t>
  </si>
  <si>
    <t>Rating 5 → 21
Rating 4 → 13
Rating 3 → 6
Rating 2 → 0
Rating 1 → 0</t>
  </si>
  <si>
    <t>Rating 5 → 34
Rating 4 → 14
Rating 3 → 2
Rating 2 → 4
Rating 1 → 0</t>
  </si>
  <si>
    <t xml:space="preserve">Rating 5 → 113
Rating 4 → 34
Rating 3 → 4
Rating 2 → 3
Rating 1 → 0 </t>
  </si>
  <si>
    <t>Rating 5 → 49
Rating 4 → 16
Rating 3 → 2
Rating 2 → 0
Rating 1 → 2</t>
  </si>
  <si>
    <t>Rating 5 → 74
Rating 4 → 37
Rating 3 → 9
Rating 2 → 2
Rating 1 → 0</t>
  </si>
  <si>
    <t>Introduction to Generative AI -New recorded</t>
  </si>
  <si>
    <t>Day-to-Day Productivity Boost using AI</t>
  </si>
  <si>
    <t>AI-Powered App Development – Session 2 (Completion)</t>
  </si>
  <si>
    <t>AI-Powered App Development Session 2</t>
  </si>
  <si>
    <t>Feedback not taken</t>
  </si>
  <si>
    <t>Research Work using AI</t>
  </si>
  <si>
    <t>Agentic AI Level 1</t>
  </si>
  <si>
    <t>B 15 -19</t>
  </si>
  <si>
    <t>SImulive</t>
  </si>
  <si>
    <t>Personal Branding with AI</t>
  </si>
  <si>
    <t>Sumit Jain</t>
  </si>
  <si>
    <t>EDA and Feature Engineering Session 2</t>
  </si>
  <si>
    <t>LinkedIn using AI</t>
  </si>
  <si>
    <t>EDA and Feature Engineering Session 1</t>
  </si>
  <si>
    <t>Python Using AI Session 4</t>
  </si>
  <si>
    <t>B 31-32</t>
  </si>
  <si>
    <t>AI-Powered App Development Session 1</t>
  </si>
  <si>
    <t>B 20-28</t>
  </si>
  <si>
    <t>RAGS &amp; Langchain Session 1</t>
  </si>
  <si>
    <t>B15-19+ A4T B6</t>
  </si>
  <si>
    <t>Python Using AI Session 3</t>
  </si>
  <si>
    <t>AI-Powered Web Development Session 2</t>
  </si>
  <si>
    <t>Python Using AI Session 5</t>
  </si>
  <si>
    <t>B 29-30</t>
  </si>
  <si>
    <t>AI-Powered Web Development Session 1</t>
  </si>
  <si>
    <t xml:space="preserve">Personal Branding with AI </t>
  </si>
  <si>
    <t>Python Using AI Session 1</t>
  </si>
  <si>
    <t>AI-Powered App Development Session 2(1st half)</t>
  </si>
  <si>
    <t>B 25-26-27-28 IC</t>
  </si>
  <si>
    <t>B 35-36</t>
  </si>
  <si>
    <t>EDA &amp; Feature Engineering Session 2</t>
  </si>
  <si>
    <t>B 20-24 IC</t>
  </si>
  <si>
    <t>B 33-34</t>
  </si>
  <si>
    <t>EDA &amp; Feature Engineering Session 1</t>
  </si>
  <si>
    <t>Python Session 5</t>
  </si>
  <si>
    <t>AI-Powered Web Development Session 4</t>
  </si>
  <si>
    <t>EDA &amp; Feature engineering session 2</t>
  </si>
  <si>
    <t>B 23,24 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</si>
</sst>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\ mmm"/>
    <numFmt numFmtId="165" formatCode="d\ mmmm\ yyyy"/>
  </numFmts>
  <fonts count="37">
    <font>
      <sz val="10"/>
      <color rgb="FF000000"/>
      <name val="Arial"/>
      <scheme val="minor"/>
    </font>
    <font>
      <b/>
      <sz val="12"/>
      <color rgb="FF990000"/>
      <name val="Arial"/>
      <family val="2"/>
      <scheme val="minor"/>
    </font>
    <font>
      <b/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Roboto"/>
    </font>
    <font>
      <b/>
      <sz val="11"/>
      <color rgb="FF222222"/>
      <name val="Google Sans"/>
    </font>
    <font>
      <b/>
      <sz val="11"/>
      <color rgb="FF000000"/>
      <name val="Arial"/>
      <family val="2"/>
    </font>
    <font>
      <b/>
      <sz val="11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rgb="FFFF0000"/>
      <name val="Google Sans"/>
    </font>
    <font>
      <b/>
      <sz val="10"/>
      <color rgb="FF1D1C1D"/>
      <name val="Arial"/>
      <family val="2"/>
    </font>
    <font>
      <b/>
      <sz val="11"/>
      <color theme="1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Roboto"/>
    </font>
    <font>
      <b/>
      <sz val="11"/>
      <color rgb="FF000000"/>
      <name val="Roboto"/>
    </font>
    <font>
      <b/>
      <sz val="11"/>
      <color theme="1"/>
      <name val="Roboto"/>
    </font>
    <font>
      <u/>
      <sz val="10"/>
      <color rgb="FF1155CC"/>
      <name val="Arial"/>
      <family val="2"/>
    </font>
    <font>
      <sz val="11"/>
      <color theme="1"/>
      <name val="Arial"/>
      <family val="2"/>
      <scheme val="minor"/>
    </font>
    <font>
      <u/>
      <sz val="10"/>
      <color rgb="FF1155CC"/>
      <name val="Arial"/>
      <family val="2"/>
    </font>
    <font>
      <b/>
      <sz val="11"/>
      <color rgb="FFFF0000"/>
      <name val="Arial"/>
      <family val="2"/>
    </font>
    <font>
      <b/>
      <u/>
      <sz val="11"/>
      <color rgb="FF0000FF"/>
      <name val="Roboto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b/>
      <u/>
      <sz val="11"/>
      <color rgb="FF0000FF"/>
      <name val="Roboto"/>
    </font>
    <font>
      <b/>
      <u/>
      <sz val="11"/>
      <color rgb="FF0000FF"/>
      <name val="Roboto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Roboto"/>
    </font>
    <font>
      <sz val="11"/>
      <color theme="1"/>
      <name val="Roboto"/>
    </font>
    <font>
      <sz val="11"/>
      <color rgb="FF000000"/>
      <name val="Roboto"/>
    </font>
    <font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b/>
      <sz val="11"/>
      <color rgb="FFFF0000"/>
      <name val="Roboto"/>
    </font>
    <font>
      <b/>
      <u/>
      <sz val="11"/>
      <name val="Roboto"/>
    </font>
    <font>
      <b/>
      <u/>
      <sz val="11"/>
      <color rgb="FF1155CC"/>
      <name val="Roboto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</fills>
  <borders count="2">
    <border>
      <left/>
      <right/>
      <top/>
      <bottom/>
      <diagonal/>
    </border>
    <border>
      <left style="thin">
        <color rgb="FFD6CFE0"/>
      </left>
      <right style="thin">
        <color rgb="FFD6CFE0"/>
      </right>
      <top/>
      <bottom style="thin">
        <color rgb="FF442F65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4" fontId="1" fillId="0" borderId="0" xfId="0" applyNumberFormat="1" applyFont="1"/>
    <xf numFmtId="0" fontId="2" fillId="0" borderId="0" xfId="0" applyFont="1"/>
    <xf numFmtId="0" fontId="3" fillId="0" borderId="0" xfId="0" applyFont="1"/>
    <xf numFmtId="164" fontId="4" fillId="0" borderId="0" xfId="0" applyNumberFormat="1" applyFont="1" applyAlignment="1">
      <alignment horizontal="right" vertical="center"/>
    </xf>
    <xf numFmtId="0" fontId="5" fillId="0" borderId="0" xfId="0" applyFont="1" applyAlignment="1">
      <alignment wrapText="1"/>
    </xf>
    <xf numFmtId="0" fontId="6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/>
    <xf numFmtId="4" fontId="9" fillId="0" borderId="0" xfId="0" applyNumberFormat="1" applyFont="1"/>
    <xf numFmtId="0" fontId="10" fillId="0" borderId="0" xfId="0" applyFont="1"/>
    <xf numFmtId="0" fontId="11" fillId="0" borderId="0" xfId="0" applyFont="1" applyAlignment="1">
      <alignment horizontal="center"/>
    </xf>
    <xf numFmtId="0" fontId="5" fillId="2" borderId="0" xfId="0" applyFont="1" applyFill="1"/>
    <xf numFmtId="0" fontId="5" fillId="2" borderId="0" xfId="0" applyFont="1" applyFill="1" applyAlignment="1">
      <alignment wrapText="1"/>
    </xf>
    <xf numFmtId="0" fontId="5" fillId="3" borderId="0" xfId="0" applyFont="1" applyFill="1"/>
    <xf numFmtId="0" fontId="5" fillId="3" borderId="0" xfId="0" applyFont="1" applyFill="1" applyAlignment="1">
      <alignment wrapText="1"/>
    </xf>
    <xf numFmtId="0" fontId="12" fillId="0" borderId="0" xfId="0" applyFont="1"/>
    <xf numFmtId="0" fontId="13" fillId="3" borderId="0" xfId="0" applyFont="1" applyFill="1" applyAlignment="1">
      <alignment wrapText="1"/>
    </xf>
    <xf numFmtId="0" fontId="13" fillId="2" borderId="0" xfId="0" applyFont="1" applyFill="1"/>
    <xf numFmtId="0" fontId="13" fillId="3" borderId="0" xfId="0" applyFont="1" applyFill="1"/>
    <xf numFmtId="0" fontId="13" fillId="2" borderId="0" xfId="0" applyFont="1" applyFill="1" applyAlignment="1">
      <alignment wrapText="1"/>
    </xf>
    <xf numFmtId="0" fontId="13" fillId="0" borderId="0" xfId="0" applyFont="1"/>
    <xf numFmtId="0" fontId="5" fillId="4" borderId="0" xfId="0" applyFont="1" applyFill="1"/>
    <xf numFmtId="0" fontId="13" fillId="0" borderId="0" xfId="0" applyFont="1" applyAlignment="1">
      <alignment wrapText="1"/>
    </xf>
    <xf numFmtId="0" fontId="5" fillId="4" borderId="0" xfId="0" applyFont="1" applyFill="1" applyAlignment="1">
      <alignment wrapText="1"/>
    </xf>
    <xf numFmtId="0" fontId="8" fillId="0" borderId="0" xfId="0" applyFont="1" applyAlignment="1">
      <alignment horizontal="right"/>
    </xf>
    <xf numFmtId="0" fontId="8" fillId="0" borderId="0" xfId="0" applyFont="1"/>
    <xf numFmtId="0" fontId="8" fillId="3" borderId="0" xfId="0" applyFont="1" applyFill="1"/>
    <xf numFmtId="0" fontId="14" fillId="3" borderId="0" xfId="0" applyFont="1" applyFill="1"/>
    <xf numFmtId="0" fontId="7" fillId="2" borderId="0" xfId="0" applyFont="1" applyFill="1"/>
    <xf numFmtId="0" fontId="8" fillId="2" borderId="0" xfId="0" applyFont="1" applyFill="1" applyAlignment="1">
      <alignment horizontal="center"/>
    </xf>
    <xf numFmtId="0" fontId="8" fillId="2" borderId="0" xfId="0" applyFont="1" applyFill="1" applyAlignment="1">
      <alignment horizontal="right"/>
    </xf>
    <xf numFmtId="0" fontId="8" fillId="2" borderId="0" xfId="0" applyFont="1" applyFill="1"/>
    <xf numFmtId="0" fontId="14" fillId="2" borderId="0" xfId="0" applyFont="1" applyFill="1"/>
    <xf numFmtId="0" fontId="7" fillId="3" borderId="0" xfId="0" applyFont="1" applyFill="1"/>
    <xf numFmtId="0" fontId="11" fillId="3" borderId="0" xfId="0" applyFont="1" applyFill="1" applyAlignment="1">
      <alignment horizontal="center"/>
    </xf>
    <xf numFmtId="0" fontId="8" fillId="3" borderId="0" xfId="0" applyFont="1" applyFill="1" applyAlignment="1">
      <alignment horizontal="right"/>
    </xf>
    <xf numFmtId="0" fontId="15" fillId="3" borderId="0" xfId="0" applyFont="1" applyFill="1"/>
    <xf numFmtId="0" fontId="11" fillId="2" borderId="0" xfId="0" applyFont="1" applyFill="1" applyAlignment="1">
      <alignment horizontal="center"/>
    </xf>
    <xf numFmtId="0" fontId="14" fillId="2" borderId="0" xfId="0" applyFont="1" applyFill="1" applyAlignment="1">
      <alignment wrapText="1"/>
    </xf>
    <xf numFmtId="0" fontId="8" fillId="3" borderId="0" xfId="0" applyFont="1" applyFill="1" applyAlignment="1">
      <alignment horizontal="center"/>
    </xf>
    <xf numFmtId="0" fontId="14" fillId="3" borderId="0" xfId="0" applyFont="1" applyFill="1" applyAlignment="1">
      <alignment wrapText="1"/>
    </xf>
    <xf numFmtId="0" fontId="16" fillId="0" borderId="0" xfId="0" applyFont="1" applyAlignment="1">
      <alignment horizontal="right" wrapText="1"/>
    </xf>
    <xf numFmtId="0" fontId="14" fillId="0" borderId="0" xfId="0" applyFont="1" applyAlignment="1">
      <alignment wrapText="1"/>
    </xf>
    <xf numFmtId="0" fontId="8" fillId="3" borderId="0" xfId="0" applyFont="1" applyFill="1" applyAlignment="1">
      <alignment wrapText="1"/>
    </xf>
    <xf numFmtId="0" fontId="16" fillId="3" borderId="0" xfId="0" applyFont="1" applyFill="1" applyAlignment="1">
      <alignment horizontal="right" wrapText="1"/>
    </xf>
    <xf numFmtId="0" fontId="9" fillId="3" borderId="0" xfId="0" applyFont="1" applyFill="1"/>
    <xf numFmtId="4" fontId="9" fillId="3" borderId="0" xfId="0" applyNumberFormat="1" applyFont="1" applyFill="1"/>
    <xf numFmtId="0" fontId="10" fillId="3" borderId="0" xfId="0" applyFont="1" applyFill="1"/>
    <xf numFmtId="0" fontId="2" fillId="3" borderId="0" xfId="0" applyFont="1" applyFill="1"/>
    <xf numFmtId="0" fontId="17" fillId="2" borderId="0" xfId="0" applyFont="1" applyFill="1"/>
    <xf numFmtId="0" fontId="6" fillId="2" borderId="0" xfId="0" applyFont="1" applyFill="1"/>
    <xf numFmtId="0" fontId="6" fillId="3" borderId="0" xfId="0" applyFont="1" applyFill="1"/>
    <xf numFmtId="0" fontId="17" fillId="0" borderId="0" xfId="0" applyFont="1"/>
    <xf numFmtId="10" fontId="2" fillId="0" borderId="0" xfId="0" applyNumberFormat="1" applyFont="1"/>
    <xf numFmtId="0" fontId="8" fillId="0" borderId="0" xfId="0" applyFont="1" applyAlignment="1">
      <alignment wrapText="1"/>
    </xf>
    <xf numFmtId="0" fontId="17" fillId="3" borderId="0" xfId="0" applyFont="1" applyFill="1"/>
    <xf numFmtId="0" fontId="8" fillId="2" borderId="0" xfId="0" applyFont="1" applyFill="1" applyAlignment="1">
      <alignment wrapText="1"/>
    </xf>
    <xf numFmtId="0" fontId="10" fillId="2" borderId="0" xfId="0" applyFont="1" applyFill="1"/>
    <xf numFmtId="0" fontId="3" fillId="2" borderId="0" xfId="0" applyFont="1" applyFill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17" fillId="0" borderId="0" xfId="0" applyFont="1" applyAlignment="1">
      <alignment wrapText="1"/>
    </xf>
    <xf numFmtId="0" fontId="21" fillId="2" borderId="0" xfId="0" applyFont="1" applyFill="1" applyAlignment="1">
      <alignment horizontal="center"/>
    </xf>
    <xf numFmtId="0" fontId="16" fillId="2" borderId="0" xfId="0" applyFont="1" applyFill="1" applyAlignment="1">
      <alignment horizontal="right" wrapText="1"/>
    </xf>
    <xf numFmtId="0" fontId="9" fillId="2" borderId="0" xfId="0" applyFont="1" applyFill="1"/>
    <xf numFmtId="4" fontId="9" fillId="2" borderId="0" xfId="0" applyNumberFormat="1" applyFont="1" applyFill="1"/>
    <xf numFmtId="0" fontId="2" fillId="2" borderId="0" xfId="0" applyFont="1" applyFill="1"/>
    <xf numFmtId="0" fontId="21" fillId="3" borderId="0" xfId="0" applyFont="1" applyFill="1" applyAlignment="1">
      <alignment horizontal="center"/>
    </xf>
    <xf numFmtId="0" fontId="22" fillId="0" borderId="0" xfId="0" applyFont="1"/>
    <xf numFmtId="0" fontId="21" fillId="0" borderId="0" xfId="0" applyFont="1" applyAlignment="1">
      <alignment horizontal="center"/>
    </xf>
    <xf numFmtId="0" fontId="17" fillId="2" borderId="0" xfId="0" applyFont="1" applyFill="1" applyAlignment="1">
      <alignment wrapText="1"/>
    </xf>
    <xf numFmtId="0" fontId="13" fillId="2" borderId="0" xfId="0" applyFont="1" applyFill="1" applyAlignment="1">
      <alignment horizontal="right"/>
    </xf>
    <xf numFmtId="10" fontId="2" fillId="2" borderId="0" xfId="0" applyNumberFormat="1" applyFont="1" applyFill="1"/>
    <xf numFmtId="0" fontId="23" fillId="2" borderId="0" xfId="0" applyFont="1" applyFill="1" applyAlignment="1">
      <alignment horizontal="center"/>
    </xf>
    <xf numFmtId="0" fontId="17" fillId="3" borderId="0" xfId="0" applyFont="1" applyFill="1" applyAlignment="1">
      <alignment wrapText="1"/>
    </xf>
    <xf numFmtId="0" fontId="24" fillId="3" borderId="0" xfId="0" applyFont="1" applyFill="1" applyAlignment="1">
      <alignment horizontal="center"/>
    </xf>
    <xf numFmtId="0" fontId="9" fillId="2" borderId="0" xfId="0" applyFont="1" applyFill="1" applyAlignment="1">
      <alignment horizontal="right"/>
    </xf>
    <xf numFmtId="0" fontId="9" fillId="3" borderId="0" xfId="0" applyFont="1" applyFill="1" applyAlignment="1">
      <alignment horizontal="right"/>
    </xf>
    <xf numFmtId="0" fontId="4" fillId="0" borderId="0" xfId="0" applyFont="1" applyAlignment="1">
      <alignment horizontal="right" vertical="center"/>
    </xf>
    <xf numFmtId="2" fontId="10" fillId="0" borderId="0" xfId="0" applyNumberFormat="1" applyFont="1"/>
    <xf numFmtId="0" fontId="25" fillId="0" borderId="0" xfId="0" applyFont="1" applyAlignment="1">
      <alignment wrapText="1"/>
    </xf>
    <xf numFmtId="0" fontId="10" fillId="0" borderId="0" xfId="0" applyFont="1" applyAlignment="1">
      <alignment horizontal="right"/>
    </xf>
    <xf numFmtId="4" fontId="10" fillId="0" borderId="0" xfId="0" applyNumberFormat="1" applyFont="1"/>
    <xf numFmtId="0" fontId="13" fillId="0" borderId="0" xfId="0" applyFont="1" applyAlignment="1">
      <alignment horizontal="right"/>
    </xf>
    <xf numFmtId="0" fontId="10" fillId="2" borderId="0" xfId="0" applyFont="1" applyFill="1" applyAlignment="1">
      <alignment horizontal="right"/>
    </xf>
    <xf numFmtId="4" fontId="10" fillId="2" borderId="0" xfId="0" applyNumberFormat="1" applyFont="1" applyFill="1"/>
    <xf numFmtId="0" fontId="13" fillId="3" borderId="0" xfId="0" applyFont="1" applyFill="1" applyAlignment="1">
      <alignment horizontal="right"/>
    </xf>
    <xf numFmtId="4" fontId="10" fillId="3" borderId="0" xfId="0" applyNumberFormat="1" applyFont="1" applyFill="1"/>
    <xf numFmtId="10" fontId="2" fillId="3" borderId="0" xfId="0" applyNumberFormat="1" applyFont="1" applyFill="1"/>
    <xf numFmtId="0" fontId="17" fillId="0" borderId="0" xfId="0" applyFont="1" applyAlignment="1">
      <alignment horizontal="right" wrapText="1"/>
    </xf>
    <xf numFmtId="0" fontId="17" fillId="2" borderId="0" xfId="0" applyFont="1" applyFill="1" applyAlignment="1">
      <alignment horizontal="right" wrapText="1"/>
    </xf>
    <xf numFmtId="2" fontId="10" fillId="2" borderId="0" xfId="0" applyNumberFormat="1" applyFont="1" applyFill="1"/>
    <xf numFmtId="0" fontId="17" fillId="3" borderId="0" xfId="0" applyFont="1" applyFill="1" applyAlignment="1">
      <alignment horizontal="right" wrapText="1"/>
    </xf>
    <xf numFmtId="2" fontId="10" fillId="3" borderId="0" xfId="0" applyNumberFormat="1" applyFont="1" applyFill="1"/>
    <xf numFmtId="165" fontId="4" fillId="0" borderId="0" xfId="0" applyNumberFormat="1" applyFont="1" applyAlignment="1">
      <alignment horizontal="right" vertical="center"/>
    </xf>
    <xf numFmtId="2" fontId="2" fillId="0" borderId="0" xfId="0" applyNumberFormat="1" applyFont="1"/>
    <xf numFmtId="0" fontId="16" fillId="0" borderId="0" xfId="0" applyFont="1" applyAlignment="1">
      <alignment horizontal="left" vertical="center"/>
    </xf>
    <xf numFmtId="0" fontId="10" fillId="3" borderId="0" xfId="0" applyFont="1" applyFill="1" applyAlignment="1">
      <alignment horizontal="right"/>
    </xf>
    <xf numFmtId="0" fontId="17" fillId="2" borderId="0" xfId="0" applyFont="1" applyFill="1" applyAlignment="1">
      <alignment horizontal="center" wrapText="1"/>
    </xf>
    <xf numFmtId="2" fontId="2" fillId="2" borderId="0" xfId="0" applyNumberFormat="1" applyFont="1" applyFill="1"/>
    <xf numFmtId="2" fontId="2" fillId="3" borderId="0" xfId="0" applyNumberFormat="1" applyFont="1" applyFill="1"/>
    <xf numFmtId="0" fontId="17" fillId="0" borderId="0" xfId="0" applyFont="1" applyAlignment="1">
      <alignment horizontal="center" wrapText="1"/>
    </xf>
    <xf numFmtId="0" fontId="17" fillId="3" borderId="0" xfId="0" applyFont="1" applyFill="1" applyAlignment="1">
      <alignment horizontal="center" wrapText="1"/>
    </xf>
    <xf numFmtId="0" fontId="16" fillId="2" borderId="0" xfId="0" applyFont="1" applyFill="1" applyAlignment="1">
      <alignment horizontal="left" vertical="center" wrapText="1"/>
    </xf>
    <xf numFmtId="0" fontId="16" fillId="2" borderId="0" xfId="0" applyFont="1" applyFill="1" applyAlignment="1">
      <alignment horizontal="left" vertical="center"/>
    </xf>
    <xf numFmtId="165" fontId="4" fillId="0" borderId="0" xfId="0" applyNumberFormat="1" applyFont="1"/>
    <xf numFmtId="0" fontId="17" fillId="5" borderId="0" xfId="0" applyFont="1" applyFill="1"/>
    <xf numFmtId="0" fontId="13" fillId="2" borderId="0" xfId="0" applyFont="1" applyFill="1" applyAlignment="1">
      <alignment horizontal="center"/>
    </xf>
    <xf numFmtId="0" fontId="17" fillId="3" borderId="0" xfId="0" applyFont="1" applyFill="1" applyAlignment="1">
      <alignment horizontal="right"/>
    </xf>
    <xf numFmtId="0" fontId="16" fillId="3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right" vertical="center"/>
    </xf>
    <xf numFmtId="0" fontId="17" fillId="0" borderId="0" xfId="0" applyFont="1" applyAlignment="1">
      <alignment horizontal="right"/>
    </xf>
    <xf numFmtId="0" fontId="17" fillId="2" borderId="0" xfId="0" applyFont="1" applyFill="1" applyAlignment="1">
      <alignment horizontal="right"/>
    </xf>
    <xf numFmtId="0" fontId="19" fillId="2" borderId="0" xfId="0" applyFont="1" applyFill="1"/>
    <xf numFmtId="0" fontId="17" fillId="5" borderId="0" xfId="0" applyFont="1" applyFill="1" applyAlignment="1">
      <alignment horizontal="right"/>
    </xf>
    <xf numFmtId="0" fontId="26" fillId="3" borderId="0" xfId="0" applyFont="1" applyFill="1"/>
    <xf numFmtId="0" fontId="16" fillId="2" borderId="1" xfId="0" applyFont="1" applyFill="1" applyBorder="1" applyAlignment="1">
      <alignment horizontal="right"/>
    </xf>
    <xf numFmtId="0" fontId="27" fillId="3" borderId="0" xfId="0" applyFont="1" applyFill="1" applyAlignment="1">
      <alignment horizontal="right"/>
    </xf>
    <xf numFmtId="0" fontId="27" fillId="2" borderId="0" xfId="0" applyFont="1" applyFill="1" applyAlignment="1">
      <alignment horizontal="right"/>
    </xf>
    <xf numFmtId="0" fontId="28" fillId="2" borderId="0" xfId="0" applyFont="1" applyFill="1" applyAlignment="1">
      <alignment horizontal="right"/>
    </xf>
    <xf numFmtId="0" fontId="28" fillId="3" borderId="0" xfId="0" applyFont="1" applyFill="1" applyAlignment="1">
      <alignment horizontal="right"/>
    </xf>
    <xf numFmtId="0" fontId="27" fillId="3" borderId="0" xfId="0" applyFont="1" applyFill="1" applyAlignment="1">
      <alignment horizontal="right" wrapText="1"/>
    </xf>
    <xf numFmtId="0" fontId="29" fillId="3" borderId="0" xfId="0" applyFont="1" applyFill="1"/>
    <xf numFmtId="0" fontId="27" fillId="2" borderId="0" xfId="0" applyFont="1" applyFill="1" applyAlignment="1">
      <alignment horizontal="right" wrapText="1"/>
    </xf>
    <xf numFmtId="165" fontId="3" fillId="0" borderId="0" xfId="0" applyNumberFormat="1" applyFont="1"/>
    <xf numFmtId="0" fontId="16" fillId="5" borderId="0" xfId="0" applyFont="1" applyFill="1" applyAlignment="1">
      <alignment horizontal="left" vertical="center" wrapText="1"/>
    </xf>
    <xf numFmtId="2" fontId="3" fillId="0" borderId="0" xfId="0" applyNumberFormat="1" applyFont="1"/>
    <xf numFmtId="4" fontId="3" fillId="0" borderId="0" xfId="0" applyNumberFormat="1" applyFont="1"/>
    <xf numFmtId="0" fontId="30" fillId="3" borderId="0" xfId="0" applyFont="1" applyFill="1"/>
    <xf numFmtId="0" fontId="30" fillId="2" borderId="0" xfId="0" applyFont="1" applyFill="1"/>
    <xf numFmtId="0" fontId="30" fillId="0" borderId="0" xfId="0" applyFont="1"/>
    <xf numFmtId="0" fontId="31" fillId="5" borderId="0" xfId="0" applyFont="1" applyFill="1" applyAlignment="1">
      <alignment horizontal="left" vertical="center"/>
    </xf>
    <xf numFmtId="0" fontId="30" fillId="3" borderId="0" xfId="0" applyFont="1" applyFill="1" applyAlignment="1">
      <alignment wrapText="1"/>
    </xf>
    <xf numFmtId="0" fontId="3" fillId="3" borderId="0" xfId="0" applyFont="1" applyFill="1"/>
    <xf numFmtId="4" fontId="3" fillId="2" borderId="0" xfId="0" applyNumberFormat="1" applyFont="1" applyFill="1"/>
    <xf numFmtId="0" fontId="30" fillId="5" borderId="0" xfId="0" applyFont="1" applyFill="1"/>
    <xf numFmtId="0" fontId="17" fillId="5" borderId="0" xfId="0" applyFont="1" applyFill="1" applyAlignment="1">
      <alignment wrapText="1"/>
    </xf>
    <xf numFmtId="0" fontId="30" fillId="2" borderId="0" xfId="0" applyFont="1" applyFill="1" applyAlignment="1">
      <alignment wrapText="1"/>
    </xf>
    <xf numFmtId="165" fontId="3" fillId="2" borderId="0" xfId="0" applyNumberFormat="1" applyFont="1" applyFill="1"/>
    <xf numFmtId="0" fontId="19" fillId="3" borderId="0" xfId="0" applyFont="1" applyFill="1"/>
    <xf numFmtId="0" fontId="32" fillId="2" borderId="0" xfId="0" applyFont="1" applyFill="1" applyAlignment="1">
      <alignment horizontal="right"/>
    </xf>
    <xf numFmtId="0" fontId="32" fillId="3" borderId="0" xfId="0" applyFont="1" applyFill="1" applyAlignment="1">
      <alignment horizontal="right"/>
    </xf>
    <xf numFmtId="0" fontId="33" fillId="0" borderId="0" xfId="0" applyFont="1"/>
  </cellXfs>
  <cellStyles count="1">
    <cellStyle name="Normal" xfId="0" builtinId="0"/>
  </cellStyles>
  <dxfs count="8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4">
    <tableStyle name="USA Batch-style" pivot="0" count="2" xr9:uid="{00000000-0011-0000-FFFF-FFFF00000000}">
      <tableStyleElement type="firstRowStripe" dxfId="7"/>
      <tableStyleElement type="secondRowStripe" dxfId="6"/>
    </tableStyle>
    <tableStyle name="USA Batch-style 2" pivot="0" count="2" xr9:uid="{00000000-0011-0000-FFFF-FFFF01000000}">
      <tableStyleElement type="firstRowStripe" dxfId="5"/>
      <tableStyleElement type="secondRowStripe" dxfId="4"/>
    </tableStyle>
    <tableStyle name="USA Batch-style 3" pivot="0" count="2" xr9:uid="{00000000-0011-0000-FFFF-FFFF02000000}">
      <tableStyleElement type="firstRowStripe" dxfId="3"/>
      <tableStyleElement type="secondRowStripe" dxfId="2"/>
    </tableStyle>
    <tableStyle name="USA Batch-style 4" pivot="0" count="2" xr9:uid="{00000000-0011-0000-FFFF-FFFF03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ay Bhatt" id="{A25511BD-851C-4253-A509-20FA38829E7F}" userId="" providerId="google-sheets"/>
  <person displayName="Mudit Saxena" id="{28D5A358-43BA-4D0E-B3BC-DD1EACBC28F4}" userId="" providerId="google-sheets"/>
  <person displayName="yenimety.jayanth@houseofedtech.in" id="{01186DEC-D908-4346-9885-533369E52514}" userId="yenimety.jayanth@houseofedtech.in" providerId="PeoplePicker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91" dT="2026-02-04T02:22:52.00" personId="{28D5A358-43BA-4D0E-B3BC-DD1EACBC28F4}" id="{0EF41311-8F59-4FD0-85D8-849117CB243F}">
    <text>Session Ended</text>
  </threadedComment>
  <threadedComment ref="N136" dT="2026-02-04T02:16:17.00" personId="{28D5A358-43BA-4D0E-B3BC-DD1EACBC28F4}" id="{8BC2C522-67B1-44F4-8367-E1A1AEA6449A}">
    <text>Session finished</text>
  </threadedComment>
  <threadedComment ref="O137" dT="2026-02-04T02:14:54.00" personId="{28D5A358-43BA-4D0E-B3BC-DD1EACBC28F4}" id="{0DA8B3F8-A207-4BA5-9E7C-30278796EEFE}">
    <text>Session finished</text>
  </threadedComment>
  <threadedComment ref="N146" dT="2026-02-04T02:11:28.00" personId="{28D5A358-43BA-4D0E-B3BC-DD1EACBC28F4}" id="{889EC3FB-9EDE-4675-AF7E-B5A0D7A97F2F}">
    <text>Session finished</text>
  </threadedComment>
  <threadedComment ref="O153" dT="2026-02-04T02:10:13.00" personId="{28D5A358-43BA-4D0E-B3BC-DD1EACBC28F4}" id="{26D1292C-BB90-41D1-A9CD-6A5D1EBD301F}">
    <text>Session finished</text>
  </threadedComment>
  <threadedComment ref="N168" dT="2026-02-04T02:09:53.00" personId="{28D5A358-43BA-4D0E-B3BC-DD1EACBC28F4}" id="{E5A82485-10B9-44B6-90B4-9536EF370841}">
    <text>Session finished</text>
  </threadedComment>
  <threadedComment ref="N227" dT="2026-02-04T01:53:22.00" personId="{28D5A358-43BA-4D0E-B3BC-DD1EACBC28F4}" id="{5F7CDB59-6423-41C1-A361-305EE258C2C4}">
    <text>session finished</text>
  </threadedComment>
  <threadedComment ref="N234" dT="2026-02-04T01:51:38.00" personId="{28D5A358-43BA-4D0E-B3BC-DD1EACBC28F4}" id="{115957AB-DF1B-4DB7-88F2-D8C7A1672A98}">
    <text>session finished</text>
  </threadedComment>
  <threadedComment ref="C451" dT="2025-07-30T10:03:56.00" personId="{A25511BD-851C-4253-A509-20FA38829E7F}" id="{FE8338E4-BDB8-4019-9BB3-86C33F05981E}">
    <text>@yenimety.jayanth@houseofedtech.in this may be second session. can you pls check</text>
    <mentions>
      <mention mentionpersonId="{01186DEC-D908-4346-9885-533369E52514}" mentionId="{E813AC65-5629-467A-B7AA-6F41069E797D}" startIndex="0" length="34"/>
    </mentions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vimeo.com/1149630067/efa870cff9?share=copy&amp;fl=sv&amp;fe=ci" TargetMode="External"/><Relationship Id="rId13" Type="http://schemas.openxmlformats.org/officeDocument/2006/relationships/hyperlink" Target="https://vimeo.com/1149437762/57926bedfa?share=copy&amp;fl=sv&amp;fe=ci" TargetMode="External"/><Relationship Id="rId18" Type="http://schemas.openxmlformats.org/officeDocument/2006/relationships/hyperlink" Target="https://vimeo.com/1144230297/996591e098?share=copy&amp;fl=sv&amp;fe=ci" TargetMode="External"/><Relationship Id="rId3" Type="http://schemas.openxmlformats.org/officeDocument/2006/relationships/hyperlink" Target="https://vimeo.com/1147959193/28ee25384a?share=copy&amp;fl=sv&amp;fe=ci" TargetMode="External"/><Relationship Id="rId21" Type="http://schemas.openxmlformats.org/officeDocument/2006/relationships/hyperlink" Target="http://make.com/" TargetMode="External"/><Relationship Id="rId7" Type="http://schemas.openxmlformats.org/officeDocument/2006/relationships/hyperlink" Target="https://vimeo.com/1149614808/09af52a018?share=copy&amp;fl=sv&amp;fe=ci" TargetMode="External"/><Relationship Id="rId12" Type="http://schemas.openxmlformats.org/officeDocument/2006/relationships/hyperlink" Target="https://vimeo.com/1149630067/efa870cff9?share=copy&amp;fl=sv&amp;fe=ci" TargetMode="External"/><Relationship Id="rId17" Type="http://schemas.openxmlformats.org/officeDocument/2006/relationships/hyperlink" Target="https://vimeo.com/1144238280/4273a6b004?share=copy&amp;fl=sv&amp;fe=ci" TargetMode="External"/><Relationship Id="rId2" Type="http://schemas.openxmlformats.org/officeDocument/2006/relationships/hyperlink" Target="https://vimeo.com/1151054763/38f6020de2?share=copy&amp;fl=cl&amp;fe=ci" TargetMode="External"/><Relationship Id="rId16" Type="http://schemas.openxmlformats.org/officeDocument/2006/relationships/hyperlink" Target="https://vimeo.com/1148409599/6fa9055b8f?share=copy&amp;fl=cl&amp;fe=ci" TargetMode="External"/><Relationship Id="rId20" Type="http://schemas.openxmlformats.org/officeDocument/2006/relationships/hyperlink" Target="https://vimeo.com/1141602652/aa022d4e04?share=copy&amp;fl=sv&amp;fe=ci" TargetMode="External"/><Relationship Id="rId1" Type="http://schemas.openxmlformats.org/officeDocument/2006/relationships/hyperlink" Target="https://vimeo.com/1149800826/f2338bf19f?share=copy&amp;fl=sv&amp;fe=ci" TargetMode="External"/><Relationship Id="rId6" Type="http://schemas.openxmlformats.org/officeDocument/2006/relationships/hyperlink" Target="https://vimeo.com/1146037587/b036620ca8?share=copy&amp;fl=cl&amp;fe=ci" TargetMode="External"/><Relationship Id="rId11" Type="http://schemas.openxmlformats.org/officeDocument/2006/relationships/hyperlink" Target="https://vimeo.com/1149280959/a7eca0ec70?share=copy&amp;fl=sv&amp;fe=ci" TargetMode="External"/><Relationship Id="rId24" Type="http://schemas.microsoft.com/office/2017/10/relationships/threadedComment" Target="../threadedComments/threadedComment1.xml"/><Relationship Id="rId5" Type="http://schemas.openxmlformats.org/officeDocument/2006/relationships/hyperlink" Target="https://vimeo.com/1151050692/c949bb6c32?share=copy&amp;fl=cl&amp;fe=ci" TargetMode="External"/><Relationship Id="rId15" Type="http://schemas.openxmlformats.org/officeDocument/2006/relationships/hyperlink" Target="https://vimeo.com/1148300889/e2a41a32b7?share=copy&amp;fl=cl&amp;fe=ci" TargetMode="External"/><Relationship Id="rId23" Type="http://schemas.openxmlformats.org/officeDocument/2006/relationships/comments" Target="../comments1.xml"/><Relationship Id="rId10" Type="http://schemas.openxmlformats.org/officeDocument/2006/relationships/hyperlink" Target="https://vimeo.com/1149437762/57926bedfa?share=copy&amp;fl=sv&amp;fe=ci" TargetMode="External"/><Relationship Id="rId19" Type="http://schemas.openxmlformats.org/officeDocument/2006/relationships/hyperlink" Target="https://vimeo.com/1144068243/9c32e4c115?share=copy&amp;fl=sv&amp;fe=ci" TargetMode="External"/><Relationship Id="rId4" Type="http://schemas.openxmlformats.org/officeDocument/2006/relationships/hyperlink" Target="https://vimeo.com/1134851268/b08ed37a81?share=copy&amp;fl=sv&amp;fe=ci" TargetMode="External"/><Relationship Id="rId9" Type="http://schemas.openxmlformats.org/officeDocument/2006/relationships/hyperlink" Target="https://vimeo.com/1149800826/f2338bf19f?share=copy&amp;fl=sv&amp;fe=ci" TargetMode="External"/><Relationship Id="rId14" Type="http://schemas.openxmlformats.org/officeDocument/2006/relationships/hyperlink" Target="https://vimeo.com/1146037587/b036620ca8?share=copy&amp;amp;fl=sv&amp;amp;fe=ci" TargetMode="External"/><Relationship Id="rId2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448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C12" sqref="C12"/>
    </sheetView>
  </sheetViews>
  <sheetFormatPr baseColWidth="10" defaultColWidth="12.6640625" defaultRowHeight="15.75" customHeight="1"/>
  <cols>
    <col min="1" max="1" width="17.6640625" customWidth="1"/>
    <col min="2" max="2" width="17.83203125" customWidth="1"/>
    <col min="3" max="3" width="56.33203125" customWidth="1"/>
    <col min="4" max="4" width="16.6640625" customWidth="1"/>
    <col min="5" max="5" width="47.6640625" customWidth="1"/>
    <col min="6" max="6" width="14.33203125" customWidth="1"/>
    <col min="7" max="7" width="15.6640625" customWidth="1"/>
    <col min="8" max="8" width="15.5" customWidth="1"/>
    <col min="9" max="9" width="14.83203125" customWidth="1"/>
    <col min="10" max="10" width="32.1640625" customWidth="1"/>
    <col min="11" max="11" width="20.6640625" customWidth="1"/>
    <col min="12" max="12" width="24.1640625" customWidth="1"/>
    <col min="13" max="13" width="19" customWidth="1"/>
    <col min="14" max="14" width="18.1640625" customWidth="1"/>
    <col min="15" max="15" width="24.1640625" customWidth="1"/>
    <col min="19" max="19" width="45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9</v>
      </c>
      <c r="R1" s="4" t="s">
        <v>16</v>
      </c>
      <c r="S1" s="1" t="s">
        <v>17</v>
      </c>
      <c r="T1" s="1" t="s">
        <v>18</v>
      </c>
      <c r="U1" s="5" t="s">
        <v>18</v>
      </c>
      <c r="V1" s="1" t="s">
        <v>18</v>
      </c>
      <c r="W1" s="1" t="s">
        <v>18</v>
      </c>
      <c r="X1" s="1" t="s">
        <v>18</v>
      </c>
      <c r="Y1" s="1" t="s">
        <v>18</v>
      </c>
      <c r="Z1" s="1" t="s">
        <v>18</v>
      </c>
      <c r="AA1" s="1" t="s">
        <v>18</v>
      </c>
    </row>
    <row r="2" spans="1:27">
      <c r="A2" s="6">
        <v>46082</v>
      </c>
      <c r="B2" s="7" t="s">
        <v>19</v>
      </c>
      <c r="C2" s="8" t="s">
        <v>20</v>
      </c>
      <c r="D2" s="9"/>
      <c r="E2" s="10" t="s">
        <v>21</v>
      </c>
      <c r="F2" s="11" t="s">
        <v>22</v>
      </c>
      <c r="G2" s="12">
        <v>4.32</v>
      </c>
      <c r="H2" s="12">
        <v>4.38</v>
      </c>
      <c r="I2" s="12">
        <v>125</v>
      </c>
      <c r="J2" s="13"/>
      <c r="K2" s="14"/>
      <c r="L2" s="13"/>
      <c r="M2" s="13"/>
      <c r="N2" s="15"/>
      <c r="O2" s="4"/>
      <c r="P2" s="4"/>
      <c r="Q2" s="4"/>
      <c r="R2" s="4"/>
      <c r="S2" s="4"/>
      <c r="T2" s="4"/>
      <c r="V2" s="4"/>
      <c r="W2" s="4"/>
      <c r="X2" s="4"/>
      <c r="Y2" s="4"/>
      <c r="Z2" s="4"/>
      <c r="AA2" s="4"/>
    </row>
    <row r="3" spans="1:27">
      <c r="A3" s="6">
        <v>46082</v>
      </c>
      <c r="B3" s="7" t="s">
        <v>23</v>
      </c>
      <c r="C3" s="7" t="s">
        <v>24</v>
      </c>
      <c r="D3" s="9"/>
      <c r="E3" s="10" t="s">
        <v>25</v>
      </c>
      <c r="F3" s="16" t="s">
        <v>26</v>
      </c>
      <c r="G3" s="12">
        <v>4.4000000000000004</v>
      </c>
      <c r="H3" s="12">
        <v>4.4400000000000004</v>
      </c>
      <c r="I3" s="12">
        <v>417</v>
      </c>
      <c r="J3" s="13"/>
      <c r="K3" s="14"/>
      <c r="L3" s="13"/>
      <c r="M3" s="13"/>
      <c r="N3" s="15"/>
      <c r="O3" s="4"/>
      <c r="P3" s="4"/>
      <c r="Q3" s="4"/>
      <c r="R3" s="4"/>
      <c r="S3" s="4"/>
      <c r="T3" s="4"/>
      <c r="V3" s="4"/>
      <c r="W3" s="4"/>
      <c r="X3" s="4"/>
      <c r="Y3" s="4"/>
      <c r="Z3" s="4"/>
      <c r="AA3" s="4"/>
    </row>
    <row r="4" spans="1:27">
      <c r="A4" s="6">
        <v>46082</v>
      </c>
      <c r="B4" s="17" t="s">
        <v>27</v>
      </c>
      <c r="C4" s="18" t="s">
        <v>28</v>
      </c>
      <c r="D4" s="9"/>
      <c r="E4" s="10" t="s">
        <v>29</v>
      </c>
      <c r="F4" s="16" t="s">
        <v>26</v>
      </c>
      <c r="G4" s="12">
        <v>4.7</v>
      </c>
      <c r="H4" s="12">
        <v>4.72</v>
      </c>
      <c r="I4" s="12">
        <v>169</v>
      </c>
      <c r="J4" s="13"/>
      <c r="K4" s="14"/>
      <c r="L4" s="13"/>
      <c r="M4" s="13"/>
      <c r="N4" s="15"/>
      <c r="O4" s="4"/>
      <c r="P4" s="4"/>
      <c r="Q4" s="4"/>
      <c r="R4" s="4"/>
      <c r="S4" s="4"/>
      <c r="T4" s="4"/>
      <c r="V4" s="4"/>
      <c r="W4" s="4"/>
      <c r="X4" s="4"/>
      <c r="Y4" s="4"/>
      <c r="Z4" s="4"/>
      <c r="AA4" s="4"/>
    </row>
    <row r="5" spans="1:27">
      <c r="A5" s="6">
        <v>46082</v>
      </c>
      <c r="B5" s="19" t="s">
        <v>30</v>
      </c>
      <c r="C5" s="19" t="s">
        <v>31</v>
      </c>
      <c r="D5" s="9"/>
      <c r="E5" s="10" t="s">
        <v>32</v>
      </c>
      <c r="F5" s="11" t="s">
        <v>22</v>
      </c>
      <c r="G5" s="12"/>
      <c r="H5" s="12"/>
      <c r="I5" s="12"/>
      <c r="J5" s="13"/>
      <c r="K5" s="14"/>
      <c r="L5" s="13"/>
      <c r="M5" s="13"/>
      <c r="N5" s="15"/>
      <c r="O5" s="4"/>
      <c r="P5" s="4"/>
      <c r="Q5" s="4"/>
      <c r="R5" s="4"/>
      <c r="S5" s="4"/>
      <c r="T5" s="4"/>
      <c r="V5" s="4"/>
      <c r="W5" s="4"/>
      <c r="X5" s="4"/>
      <c r="Y5" s="4"/>
      <c r="Z5" s="4"/>
      <c r="AA5" s="4"/>
    </row>
    <row r="6" spans="1:27">
      <c r="A6" s="6">
        <v>46082</v>
      </c>
      <c r="B6" s="18" t="s">
        <v>33</v>
      </c>
      <c r="C6" s="18" t="s">
        <v>34</v>
      </c>
      <c r="D6" s="9"/>
      <c r="E6" s="10" t="s">
        <v>35</v>
      </c>
      <c r="F6" s="11" t="s">
        <v>22</v>
      </c>
      <c r="G6" s="12">
        <v>4.6500000000000004</v>
      </c>
      <c r="H6" s="12">
        <v>4.6500000000000004</v>
      </c>
      <c r="I6" s="12">
        <v>286</v>
      </c>
      <c r="J6" s="13" t="s">
        <v>36</v>
      </c>
      <c r="K6" s="14"/>
      <c r="L6" s="13"/>
      <c r="M6" s="13"/>
      <c r="N6" s="15"/>
      <c r="O6" s="4"/>
      <c r="P6" s="4"/>
      <c r="Q6" s="4"/>
      <c r="R6" s="4"/>
      <c r="S6" s="4"/>
      <c r="T6" s="4"/>
      <c r="V6" s="4"/>
      <c r="W6" s="4"/>
      <c r="X6" s="4"/>
      <c r="Y6" s="4"/>
      <c r="Z6" s="4"/>
      <c r="AA6" s="4"/>
    </row>
    <row r="7" spans="1:27">
      <c r="A7" s="6">
        <v>46082</v>
      </c>
      <c r="B7" s="19" t="s">
        <v>37</v>
      </c>
      <c r="C7" s="20" t="s">
        <v>38</v>
      </c>
      <c r="D7" s="9"/>
      <c r="E7" s="10" t="s">
        <v>39</v>
      </c>
      <c r="F7" s="16" t="s">
        <v>26</v>
      </c>
      <c r="G7" s="12">
        <v>4.3899999999999997</v>
      </c>
      <c r="H7" s="12">
        <v>4.4000000000000004</v>
      </c>
      <c r="I7" s="12">
        <v>445</v>
      </c>
      <c r="J7" s="13" t="s">
        <v>40</v>
      </c>
      <c r="K7" s="14"/>
      <c r="L7" s="13"/>
      <c r="M7" s="13"/>
      <c r="N7" s="15"/>
      <c r="O7" s="4"/>
      <c r="P7" s="4"/>
      <c r="Q7" s="4"/>
      <c r="R7" s="4"/>
      <c r="S7" s="4"/>
      <c r="T7" s="4"/>
      <c r="V7" s="4"/>
      <c r="W7" s="4"/>
      <c r="X7" s="4"/>
      <c r="Y7" s="4"/>
      <c r="Z7" s="4"/>
      <c r="AA7" s="4"/>
    </row>
    <row r="8" spans="1:27">
      <c r="A8" s="6">
        <v>46082</v>
      </c>
      <c r="B8" s="18" t="s">
        <v>33</v>
      </c>
      <c r="C8" s="18" t="s">
        <v>41</v>
      </c>
      <c r="D8" s="9"/>
      <c r="E8" s="10" t="s">
        <v>42</v>
      </c>
      <c r="F8" s="11" t="s">
        <v>22</v>
      </c>
      <c r="G8" s="12">
        <v>4.68</v>
      </c>
      <c r="H8" s="12">
        <v>4.71</v>
      </c>
      <c r="I8" s="12">
        <v>1004</v>
      </c>
      <c r="J8" s="13" t="s">
        <v>43</v>
      </c>
      <c r="K8" s="14"/>
      <c r="L8" s="13"/>
      <c r="M8" s="13"/>
      <c r="N8" s="15"/>
      <c r="O8" s="4"/>
      <c r="P8" s="4"/>
      <c r="Q8" s="4"/>
      <c r="R8" s="4"/>
      <c r="S8" s="4"/>
      <c r="T8" s="4"/>
      <c r="V8" s="4"/>
      <c r="W8" s="4"/>
      <c r="X8" s="4"/>
      <c r="Y8" s="4"/>
      <c r="Z8" s="4"/>
      <c r="AA8" s="4"/>
    </row>
    <row r="9" spans="1:27">
      <c r="A9" s="6">
        <v>46082</v>
      </c>
      <c r="B9" s="9" t="s">
        <v>33</v>
      </c>
      <c r="C9" s="9" t="s">
        <v>44</v>
      </c>
      <c r="D9" s="9"/>
      <c r="E9" s="10" t="s">
        <v>45</v>
      </c>
      <c r="F9" s="16" t="s">
        <v>26</v>
      </c>
      <c r="G9" s="12">
        <v>4.63</v>
      </c>
      <c r="H9" s="12">
        <v>4.66</v>
      </c>
      <c r="I9" s="12">
        <v>1001</v>
      </c>
      <c r="J9" s="13" t="s">
        <v>46</v>
      </c>
      <c r="K9" s="14"/>
      <c r="L9" s="13"/>
      <c r="M9" s="13"/>
      <c r="N9" s="15"/>
      <c r="O9" s="4"/>
      <c r="P9" s="4"/>
      <c r="Q9" s="4"/>
      <c r="R9" s="4"/>
      <c r="S9" s="4"/>
      <c r="T9" s="4"/>
      <c r="V9" s="4"/>
      <c r="W9" s="4"/>
      <c r="X9" s="4"/>
      <c r="Y9" s="4"/>
      <c r="Z9" s="4"/>
      <c r="AA9" s="4"/>
    </row>
    <row r="10" spans="1:27">
      <c r="A10" s="6">
        <v>46082</v>
      </c>
      <c r="B10" s="20" t="s">
        <v>47</v>
      </c>
      <c r="C10" s="20" t="s">
        <v>48</v>
      </c>
      <c r="D10" s="9"/>
      <c r="E10" s="10" t="s">
        <v>49</v>
      </c>
      <c r="F10" s="16" t="s">
        <v>26</v>
      </c>
      <c r="G10" s="12">
        <v>4.66</v>
      </c>
      <c r="H10" s="12">
        <v>4.7</v>
      </c>
      <c r="I10" s="12">
        <v>672</v>
      </c>
      <c r="J10" s="13"/>
      <c r="K10" s="14"/>
      <c r="L10" s="13"/>
      <c r="M10" s="13"/>
      <c r="N10" s="15"/>
      <c r="O10" s="4"/>
      <c r="P10" s="4"/>
      <c r="Q10" s="4"/>
      <c r="R10" s="4"/>
      <c r="S10" s="4"/>
      <c r="T10" s="4"/>
      <c r="V10" s="4"/>
      <c r="W10" s="4"/>
      <c r="X10" s="4"/>
      <c r="Y10" s="4"/>
      <c r="Z10" s="4"/>
      <c r="AA10" s="4"/>
    </row>
    <row r="11" spans="1:27">
      <c r="A11" s="6">
        <v>46082</v>
      </c>
      <c r="B11" s="9" t="s">
        <v>50</v>
      </c>
      <c r="C11" s="17" t="s">
        <v>51</v>
      </c>
      <c r="D11" s="9"/>
      <c r="E11" s="10" t="s">
        <v>52</v>
      </c>
      <c r="F11" s="16" t="s">
        <v>26</v>
      </c>
      <c r="G11" s="12">
        <v>4.71</v>
      </c>
      <c r="H11" s="12">
        <v>4.75</v>
      </c>
      <c r="I11" s="12">
        <v>624</v>
      </c>
      <c r="J11" s="13"/>
      <c r="K11" s="14"/>
      <c r="L11" s="13"/>
      <c r="M11" s="13"/>
      <c r="N11" s="15"/>
      <c r="O11" s="4"/>
      <c r="P11" s="4"/>
      <c r="Q11" s="4"/>
      <c r="R11" s="4"/>
      <c r="S11" s="4"/>
      <c r="T11" s="4"/>
      <c r="V11" s="4"/>
      <c r="W11" s="4"/>
      <c r="X11" s="4"/>
      <c r="Y11" s="4"/>
      <c r="Z11" s="4"/>
      <c r="AA11" s="4"/>
    </row>
    <row r="12" spans="1:27">
      <c r="A12" s="6">
        <v>46081</v>
      </c>
      <c r="B12" s="7" t="s">
        <v>19</v>
      </c>
      <c r="C12" s="7" t="s">
        <v>53</v>
      </c>
      <c r="D12" s="9"/>
      <c r="E12" s="10" t="s">
        <v>21</v>
      </c>
      <c r="F12" s="11" t="s">
        <v>22</v>
      </c>
      <c r="G12" s="12">
        <v>4.4400000000000004</v>
      </c>
      <c r="H12" s="12">
        <v>4.42</v>
      </c>
      <c r="I12" s="12">
        <v>147</v>
      </c>
      <c r="J12" s="13"/>
      <c r="K12" s="14"/>
      <c r="L12" s="13"/>
      <c r="M12" s="13"/>
      <c r="N12" s="15"/>
      <c r="O12" s="4"/>
      <c r="P12" s="4"/>
      <c r="Q12" s="4"/>
      <c r="R12" s="4"/>
      <c r="S12" s="4"/>
      <c r="T12" s="4"/>
      <c r="V12" s="4"/>
      <c r="W12" s="4"/>
      <c r="X12" s="4"/>
      <c r="Y12" s="4"/>
      <c r="Z12" s="4"/>
      <c r="AA12" s="4"/>
    </row>
    <row r="13" spans="1:27">
      <c r="A13" s="6">
        <v>46081</v>
      </c>
      <c r="B13" s="9" t="s">
        <v>23</v>
      </c>
      <c r="C13" s="8" t="s">
        <v>54</v>
      </c>
      <c r="D13" s="9"/>
      <c r="E13" s="10" t="s">
        <v>25</v>
      </c>
      <c r="F13" s="16" t="s">
        <v>26</v>
      </c>
      <c r="G13" s="12">
        <v>4.55</v>
      </c>
      <c r="H13" s="12">
        <v>4.5999999999999996</v>
      </c>
      <c r="I13" s="12">
        <v>526</v>
      </c>
      <c r="J13" s="13"/>
      <c r="K13" s="14"/>
      <c r="L13" s="13"/>
      <c r="M13" s="13"/>
      <c r="N13" s="15"/>
      <c r="O13" s="4"/>
      <c r="P13" s="4"/>
      <c r="Q13" s="4"/>
      <c r="R13" s="4"/>
      <c r="S13" s="4"/>
      <c r="T13" s="4"/>
      <c r="V13" s="4"/>
      <c r="W13" s="4"/>
      <c r="X13" s="4"/>
      <c r="Y13" s="4"/>
      <c r="Z13" s="4"/>
      <c r="AA13" s="4"/>
    </row>
    <row r="14" spans="1:27">
      <c r="A14" s="6">
        <v>46081</v>
      </c>
      <c r="B14" s="21" t="s">
        <v>55</v>
      </c>
      <c r="C14" s="7" t="s">
        <v>56</v>
      </c>
      <c r="D14" s="9"/>
      <c r="E14" s="10" t="s">
        <v>57</v>
      </c>
      <c r="F14" s="16" t="s">
        <v>26</v>
      </c>
      <c r="G14" s="12">
        <v>4.34</v>
      </c>
      <c r="H14" s="12">
        <v>4.3600000000000003</v>
      </c>
      <c r="I14" s="12">
        <v>219</v>
      </c>
      <c r="J14" s="13"/>
      <c r="K14" s="14"/>
      <c r="L14" s="13"/>
      <c r="M14" s="13"/>
      <c r="N14" s="15"/>
      <c r="O14" s="4"/>
      <c r="P14" s="4"/>
      <c r="Q14" s="4"/>
      <c r="R14" s="4"/>
      <c r="S14" s="4"/>
      <c r="T14" s="4"/>
      <c r="V14" s="4"/>
      <c r="W14" s="4"/>
      <c r="X14" s="4"/>
      <c r="Y14" s="4"/>
      <c r="Z14" s="4"/>
      <c r="AA14" s="4"/>
    </row>
    <row r="15" spans="1:27">
      <c r="A15" s="6">
        <v>46081</v>
      </c>
      <c r="B15" s="10" t="s">
        <v>58</v>
      </c>
      <c r="C15" s="10" t="s">
        <v>59</v>
      </c>
      <c r="D15" s="9"/>
      <c r="E15" s="10" t="s">
        <v>60</v>
      </c>
      <c r="F15" s="16" t="s">
        <v>26</v>
      </c>
      <c r="G15" s="12">
        <v>4.43</v>
      </c>
      <c r="H15" s="12">
        <v>4.46</v>
      </c>
      <c r="I15" s="12">
        <v>4.42</v>
      </c>
      <c r="J15" s="13"/>
      <c r="K15" s="14"/>
      <c r="L15" s="13"/>
      <c r="M15" s="13"/>
      <c r="N15" s="15"/>
      <c r="O15" s="4"/>
      <c r="P15" s="4"/>
      <c r="Q15" s="4"/>
      <c r="R15" s="4"/>
      <c r="S15" s="4"/>
      <c r="T15" s="4"/>
      <c r="V15" s="4"/>
      <c r="W15" s="4"/>
      <c r="X15" s="4"/>
      <c r="Y15" s="4"/>
      <c r="Z15" s="4"/>
      <c r="AA15" s="4"/>
    </row>
    <row r="16" spans="1:27">
      <c r="A16" s="6">
        <v>46081</v>
      </c>
      <c r="B16" s="9" t="s">
        <v>47</v>
      </c>
      <c r="C16" s="7" t="s">
        <v>61</v>
      </c>
      <c r="D16" s="9"/>
      <c r="E16" s="10" t="s">
        <v>32</v>
      </c>
      <c r="F16" s="11" t="s">
        <v>22</v>
      </c>
      <c r="G16" s="12">
        <v>4.67</v>
      </c>
      <c r="H16" s="12">
        <v>4.68</v>
      </c>
      <c r="I16" s="12">
        <v>220</v>
      </c>
      <c r="J16" s="13"/>
      <c r="K16" s="14"/>
      <c r="L16" s="13"/>
      <c r="M16" s="13"/>
      <c r="N16" s="15"/>
      <c r="O16" s="4"/>
      <c r="P16" s="4"/>
      <c r="Q16" s="4"/>
      <c r="R16" s="4"/>
      <c r="S16" s="4"/>
      <c r="T16" s="4"/>
      <c r="V16" s="4"/>
      <c r="W16" s="4"/>
      <c r="X16" s="4"/>
      <c r="Y16" s="4"/>
      <c r="Z16" s="4"/>
      <c r="AA16" s="4"/>
    </row>
    <row r="17" spans="1:27">
      <c r="A17" s="6">
        <v>46081</v>
      </c>
      <c r="B17" s="7" t="s">
        <v>33</v>
      </c>
      <c r="C17" s="7" t="s">
        <v>62</v>
      </c>
      <c r="D17" s="9"/>
      <c r="E17" s="10" t="s">
        <v>63</v>
      </c>
      <c r="F17" s="11" t="s">
        <v>22</v>
      </c>
      <c r="G17" s="12">
        <v>4.5</v>
      </c>
      <c r="H17" s="12">
        <v>4.51</v>
      </c>
      <c r="I17" s="12">
        <v>348</v>
      </c>
      <c r="J17" s="13" t="s">
        <v>36</v>
      </c>
      <c r="K17" s="14"/>
      <c r="L17" s="13"/>
      <c r="M17" s="13"/>
      <c r="N17" s="15"/>
      <c r="O17" s="4"/>
      <c r="P17" s="4"/>
      <c r="Q17" s="4"/>
      <c r="R17" s="4"/>
      <c r="S17" s="4"/>
      <c r="T17" s="4"/>
      <c r="V17" s="4"/>
      <c r="W17" s="4"/>
      <c r="X17" s="4"/>
      <c r="Y17" s="4"/>
      <c r="Z17" s="4"/>
      <c r="AA17" s="4"/>
    </row>
    <row r="18" spans="1:27">
      <c r="A18" s="6">
        <v>46081</v>
      </c>
      <c r="B18" s="9" t="s">
        <v>37</v>
      </c>
      <c r="C18" s="7" t="s">
        <v>64</v>
      </c>
      <c r="D18" s="9"/>
      <c r="E18" s="10" t="s">
        <v>39</v>
      </c>
      <c r="F18" s="16" t="s">
        <v>26</v>
      </c>
      <c r="G18" s="12">
        <v>4.24</v>
      </c>
      <c r="H18" s="12">
        <v>4.2699999999999996</v>
      </c>
      <c r="I18" s="12">
        <v>611</v>
      </c>
      <c r="J18" s="13" t="s">
        <v>18</v>
      </c>
      <c r="K18" s="14"/>
      <c r="L18" s="13"/>
      <c r="M18" s="13"/>
      <c r="N18" s="15"/>
      <c r="O18" s="4"/>
      <c r="P18" s="4"/>
      <c r="Q18" s="4"/>
      <c r="R18" s="4"/>
      <c r="S18" s="4"/>
      <c r="T18" s="4"/>
      <c r="V18" s="4"/>
      <c r="W18" s="4"/>
      <c r="X18" s="4"/>
      <c r="Y18" s="4"/>
      <c r="Z18" s="4"/>
      <c r="AA18" s="4"/>
    </row>
    <row r="19" spans="1:27">
      <c r="A19" s="6">
        <v>46081</v>
      </c>
      <c r="B19" s="7" t="s">
        <v>33</v>
      </c>
      <c r="C19" s="7" t="s">
        <v>65</v>
      </c>
      <c r="D19" s="9"/>
      <c r="E19" s="10" t="s">
        <v>66</v>
      </c>
      <c r="F19" s="11" t="s">
        <v>22</v>
      </c>
      <c r="G19" s="12">
        <v>4.76</v>
      </c>
      <c r="H19" s="12">
        <v>4.7699999999999996</v>
      </c>
      <c r="I19" s="12">
        <v>896</v>
      </c>
      <c r="J19" s="13"/>
      <c r="K19" s="14"/>
      <c r="L19" s="13"/>
      <c r="M19" s="13"/>
      <c r="N19" s="15"/>
      <c r="O19" s="4"/>
      <c r="P19" s="4"/>
      <c r="Q19" s="4"/>
      <c r="R19" s="4"/>
      <c r="S19" s="4"/>
      <c r="T19" s="4"/>
      <c r="V19" s="4"/>
      <c r="W19" s="4"/>
      <c r="X19" s="4"/>
      <c r="Y19" s="4"/>
      <c r="Z19" s="4"/>
      <c r="AA19" s="4"/>
    </row>
    <row r="20" spans="1:27">
      <c r="A20" s="6">
        <v>46081</v>
      </c>
      <c r="B20" s="9" t="s">
        <v>47</v>
      </c>
      <c r="C20" s="9" t="s">
        <v>67</v>
      </c>
      <c r="D20" s="9"/>
      <c r="E20" s="10" t="s">
        <v>45</v>
      </c>
      <c r="F20" s="16" t="s">
        <v>26</v>
      </c>
      <c r="G20" s="12">
        <v>4.38</v>
      </c>
      <c r="H20" s="12">
        <v>4.42</v>
      </c>
      <c r="I20" s="12">
        <v>994</v>
      </c>
      <c r="J20" s="13"/>
      <c r="K20" s="14"/>
      <c r="L20" s="13"/>
      <c r="M20" s="13"/>
      <c r="N20" s="15"/>
      <c r="O20" s="4"/>
      <c r="P20" s="4"/>
      <c r="Q20" s="4"/>
      <c r="R20" s="4"/>
      <c r="S20" s="4"/>
      <c r="T20" s="4"/>
      <c r="V20" s="4"/>
      <c r="W20" s="4"/>
      <c r="X20" s="4"/>
      <c r="Y20" s="4"/>
      <c r="Z20" s="4"/>
      <c r="AA20" s="4"/>
    </row>
    <row r="21" spans="1:27">
      <c r="A21" s="6">
        <v>46081</v>
      </c>
      <c r="B21" s="7" t="s">
        <v>68</v>
      </c>
      <c r="C21" s="7" t="s">
        <v>69</v>
      </c>
      <c r="D21" s="9"/>
      <c r="E21" s="10" t="s">
        <v>70</v>
      </c>
      <c r="F21" s="16" t="s">
        <v>26</v>
      </c>
      <c r="G21" s="12">
        <v>4.3</v>
      </c>
      <c r="H21" s="12">
        <v>4.41</v>
      </c>
      <c r="I21" s="12">
        <v>571</v>
      </c>
      <c r="J21" s="13"/>
      <c r="K21" s="14"/>
      <c r="L21" s="13"/>
      <c r="M21" s="13"/>
      <c r="N21" s="15"/>
      <c r="O21" s="4"/>
      <c r="P21" s="4"/>
      <c r="Q21" s="4"/>
      <c r="R21" s="4"/>
      <c r="S21" s="4"/>
      <c r="T21" s="4"/>
      <c r="V21" s="4"/>
      <c r="W21" s="4"/>
      <c r="X21" s="4"/>
      <c r="Y21" s="4"/>
      <c r="Z21" s="4"/>
      <c r="AA21" s="4"/>
    </row>
    <row r="22" spans="1:27">
      <c r="A22" s="6">
        <v>46081</v>
      </c>
      <c r="B22" s="9" t="s">
        <v>50</v>
      </c>
      <c r="C22" s="9" t="s">
        <v>71</v>
      </c>
      <c r="D22" s="9"/>
      <c r="E22" s="10" t="s">
        <v>52</v>
      </c>
      <c r="F22" s="16" t="s">
        <v>26</v>
      </c>
      <c r="G22" s="12">
        <v>4.5599999999999996</v>
      </c>
      <c r="H22" s="12">
        <v>4.6399999999999997</v>
      </c>
      <c r="I22" s="12">
        <v>523</v>
      </c>
      <c r="J22" s="13"/>
      <c r="K22" s="14"/>
      <c r="L22" s="13"/>
      <c r="M22" s="13"/>
      <c r="N22" s="15"/>
      <c r="O22" s="4"/>
      <c r="P22" s="4"/>
      <c r="Q22" s="4"/>
      <c r="R22" s="4"/>
      <c r="S22" s="4"/>
      <c r="T22" s="4"/>
      <c r="V22" s="4"/>
      <c r="W22" s="4"/>
      <c r="X22" s="4"/>
      <c r="Y22" s="4"/>
      <c r="Z22" s="4"/>
      <c r="AA22" s="4"/>
    </row>
    <row r="23" spans="1:27">
      <c r="A23" s="6">
        <v>46075</v>
      </c>
      <c r="B23" s="22" t="s">
        <v>19</v>
      </c>
      <c r="C23" s="19" t="s">
        <v>72</v>
      </c>
      <c r="D23" s="9"/>
      <c r="E23" s="10" t="s">
        <v>21</v>
      </c>
      <c r="F23" s="11" t="s">
        <v>22</v>
      </c>
      <c r="G23" s="12">
        <v>4.5199999999999996</v>
      </c>
      <c r="H23" s="12">
        <v>4.55</v>
      </c>
      <c r="I23" s="12">
        <v>139</v>
      </c>
      <c r="J23" s="13"/>
      <c r="K23" s="14">
        <f t="shared" ref="K23:K240" si="0">L23/60</f>
        <v>1.9666666666666666</v>
      </c>
      <c r="L23" s="13">
        <v>118</v>
      </c>
      <c r="M23" s="13"/>
      <c r="N23" s="15"/>
      <c r="O23" s="4"/>
      <c r="P23" s="4"/>
      <c r="Q23" s="4"/>
      <c r="R23" s="4" t="s">
        <v>16</v>
      </c>
      <c r="S23" s="4"/>
      <c r="T23" s="4"/>
      <c r="V23" s="4"/>
      <c r="W23" s="4"/>
      <c r="X23" s="4"/>
      <c r="Y23" s="4"/>
      <c r="Z23" s="4"/>
      <c r="AA23" s="4"/>
    </row>
    <row r="24" spans="1:27">
      <c r="A24" s="6">
        <v>46075</v>
      </c>
      <c r="B24" s="23" t="s">
        <v>23</v>
      </c>
      <c r="C24" s="17" t="s">
        <v>73</v>
      </c>
      <c r="D24" s="9"/>
      <c r="E24" s="10" t="s">
        <v>25</v>
      </c>
      <c r="F24" s="16" t="s">
        <v>26</v>
      </c>
      <c r="G24" s="12">
        <v>4.5</v>
      </c>
      <c r="H24" s="12">
        <v>4.53</v>
      </c>
      <c r="I24" s="12">
        <v>402</v>
      </c>
      <c r="J24" s="13"/>
      <c r="K24" s="14">
        <f t="shared" si="0"/>
        <v>2.8833333333333333</v>
      </c>
      <c r="L24" s="13">
        <v>173</v>
      </c>
      <c r="M24" s="13"/>
      <c r="N24" s="15"/>
      <c r="O24" s="4"/>
      <c r="P24" s="4"/>
      <c r="Q24" s="4"/>
      <c r="R24" s="4" t="s">
        <v>16</v>
      </c>
      <c r="S24" s="4"/>
      <c r="T24" s="4"/>
      <c r="V24" s="4"/>
      <c r="W24" s="4"/>
      <c r="X24" s="4"/>
      <c r="Y24" s="4"/>
      <c r="Z24" s="4"/>
      <c r="AA24" s="4"/>
    </row>
    <row r="25" spans="1:27">
      <c r="A25" s="6">
        <v>46075</v>
      </c>
      <c r="B25" s="24" t="s">
        <v>58</v>
      </c>
      <c r="C25" s="19" t="s">
        <v>59</v>
      </c>
      <c r="D25" s="9"/>
      <c r="E25" s="10" t="s">
        <v>57</v>
      </c>
      <c r="F25" s="16" t="s">
        <v>26</v>
      </c>
      <c r="G25" s="12">
        <v>4.6399999999999997</v>
      </c>
      <c r="H25" s="12">
        <v>4.6399999999999997</v>
      </c>
      <c r="I25" s="12">
        <v>194</v>
      </c>
      <c r="J25" s="13"/>
      <c r="K25" s="14">
        <f t="shared" si="0"/>
        <v>2.1</v>
      </c>
      <c r="L25" s="13">
        <v>126</v>
      </c>
      <c r="M25" s="13"/>
      <c r="N25" s="15"/>
      <c r="O25" s="4"/>
      <c r="P25" s="4"/>
      <c r="Q25" s="4"/>
      <c r="R25" s="4" t="s">
        <v>16</v>
      </c>
      <c r="S25" s="4"/>
      <c r="T25" s="4"/>
      <c r="V25" s="4"/>
      <c r="W25" s="4"/>
      <c r="X25" s="4"/>
      <c r="Y25" s="4"/>
      <c r="Z25" s="4"/>
      <c r="AA25" s="4"/>
    </row>
    <row r="26" spans="1:27">
      <c r="A26" s="6">
        <v>46075</v>
      </c>
      <c r="B26" s="23" t="s">
        <v>47</v>
      </c>
      <c r="C26" s="18" t="s">
        <v>74</v>
      </c>
      <c r="D26" s="9"/>
      <c r="E26" s="10" t="s">
        <v>75</v>
      </c>
      <c r="F26" s="16" t="s">
        <v>26</v>
      </c>
      <c r="G26" s="12">
        <v>4.67</v>
      </c>
      <c r="H26" s="12">
        <v>4.71</v>
      </c>
      <c r="I26" s="12">
        <v>107</v>
      </c>
      <c r="J26" s="13"/>
      <c r="K26" s="14">
        <f t="shared" si="0"/>
        <v>2.2166666666666668</v>
      </c>
      <c r="L26" s="13">
        <v>133</v>
      </c>
      <c r="M26" s="13"/>
      <c r="N26" s="15"/>
      <c r="O26" s="4"/>
      <c r="P26" s="4"/>
      <c r="Q26" s="4"/>
      <c r="R26" s="4" t="s">
        <v>16</v>
      </c>
      <c r="S26" s="4"/>
      <c r="T26" s="4"/>
      <c r="V26" s="4"/>
      <c r="W26" s="4"/>
      <c r="X26" s="4"/>
      <c r="Y26" s="4"/>
      <c r="Z26" s="4"/>
      <c r="AA26" s="4"/>
    </row>
    <row r="27" spans="1:27">
      <c r="A27" s="6">
        <v>46075</v>
      </c>
      <c r="B27" s="24" t="s">
        <v>33</v>
      </c>
      <c r="C27" s="19" t="s">
        <v>34</v>
      </c>
      <c r="D27" s="9"/>
      <c r="E27" s="10" t="s">
        <v>32</v>
      </c>
      <c r="F27" s="11" t="s">
        <v>22</v>
      </c>
      <c r="G27" s="12">
        <v>4.6900000000000004</v>
      </c>
      <c r="H27" s="12">
        <v>4.71</v>
      </c>
      <c r="I27" s="12">
        <v>273</v>
      </c>
      <c r="J27" s="13" t="s">
        <v>76</v>
      </c>
      <c r="K27" s="14">
        <f t="shared" si="0"/>
        <v>4.6500000000000004</v>
      </c>
      <c r="L27" s="13">
        <v>279</v>
      </c>
      <c r="M27" s="13"/>
      <c r="N27" s="15"/>
      <c r="O27" s="4"/>
      <c r="P27" s="4"/>
      <c r="Q27" s="4"/>
      <c r="R27" s="4" t="s">
        <v>16</v>
      </c>
      <c r="S27" s="4"/>
      <c r="T27" s="4"/>
      <c r="V27" s="4"/>
      <c r="W27" s="4"/>
      <c r="X27" s="4"/>
      <c r="Y27" s="4"/>
      <c r="Z27" s="4"/>
      <c r="AA27" s="4"/>
    </row>
    <row r="28" spans="1:27">
      <c r="A28" s="6">
        <v>46075</v>
      </c>
      <c r="B28" s="25" t="s">
        <v>77</v>
      </c>
      <c r="C28" s="18" t="s">
        <v>78</v>
      </c>
      <c r="D28" s="9"/>
      <c r="E28" s="10" t="s">
        <v>79</v>
      </c>
      <c r="F28" s="11" t="s">
        <v>22</v>
      </c>
      <c r="G28" s="12">
        <v>4.66</v>
      </c>
      <c r="H28" s="12">
        <v>4.7</v>
      </c>
      <c r="I28" s="12">
        <v>344</v>
      </c>
      <c r="J28" s="13"/>
      <c r="K28" s="14">
        <f t="shared" si="0"/>
        <v>1.5833333333333333</v>
      </c>
      <c r="L28" s="13">
        <v>95</v>
      </c>
      <c r="M28" s="13"/>
      <c r="N28" s="15"/>
      <c r="O28" s="4"/>
      <c r="P28" s="4"/>
      <c r="Q28" s="4"/>
      <c r="R28" s="4" t="s">
        <v>16</v>
      </c>
      <c r="S28" s="4"/>
      <c r="T28" s="4"/>
      <c r="V28" s="4"/>
      <c r="W28" s="4"/>
      <c r="X28" s="4"/>
      <c r="Y28" s="4"/>
      <c r="Z28" s="4"/>
      <c r="AA28" s="4"/>
    </row>
    <row r="29" spans="1:27">
      <c r="A29" s="6">
        <v>46075</v>
      </c>
      <c r="B29" s="22" t="s">
        <v>33</v>
      </c>
      <c r="C29" s="20" t="s">
        <v>41</v>
      </c>
      <c r="D29" s="9"/>
      <c r="E29" s="10" t="s">
        <v>39</v>
      </c>
      <c r="F29" s="16" t="s">
        <v>26</v>
      </c>
      <c r="G29" s="12">
        <v>4.75</v>
      </c>
      <c r="H29" s="12">
        <v>4.7699999999999996</v>
      </c>
      <c r="I29" s="12">
        <v>822</v>
      </c>
      <c r="J29" s="13" t="s">
        <v>80</v>
      </c>
      <c r="K29" s="14">
        <f t="shared" si="0"/>
        <v>3.9166666666666665</v>
      </c>
      <c r="L29" s="13">
        <v>235</v>
      </c>
      <c r="M29" s="13"/>
      <c r="N29" s="15"/>
      <c r="O29" s="4"/>
      <c r="P29" s="4"/>
      <c r="Q29" s="4"/>
      <c r="R29" s="4" t="s">
        <v>16</v>
      </c>
      <c r="S29" s="4"/>
      <c r="T29" s="4"/>
      <c r="V29" s="4"/>
      <c r="W29" s="4"/>
      <c r="X29" s="4"/>
      <c r="Y29" s="4"/>
      <c r="Z29" s="4"/>
      <c r="AA29" s="4"/>
    </row>
    <row r="30" spans="1:27">
      <c r="A30" s="6">
        <v>46075</v>
      </c>
      <c r="B30" s="25" t="s">
        <v>81</v>
      </c>
      <c r="C30" s="18" t="s">
        <v>82</v>
      </c>
      <c r="D30" s="9"/>
      <c r="E30" s="10" t="s">
        <v>83</v>
      </c>
      <c r="F30" s="11" t="s">
        <v>22</v>
      </c>
      <c r="G30" s="12">
        <v>4.66</v>
      </c>
      <c r="H30" s="12">
        <v>4.7300000000000004</v>
      </c>
      <c r="I30" s="12">
        <v>785</v>
      </c>
      <c r="J30" s="13"/>
      <c r="K30" s="14">
        <f t="shared" si="0"/>
        <v>3.05</v>
      </c>
      <c r="L30" s="13">
        <v>183</v>
      </c>
      <c r="M30" s="13"/>
      <c r="N30" s="15"/>
      <c r="O30" s="4"/>
      <c r="P30" s="4"/>
      <c r="Q30" s="4"/>
      <c r="R30" s="4" t="s">
        <v>16</v>
      </c>
      <c r="S30" s="4"/>
      <c r="T30" s="4"/>
      <c r="V30" s="4"/>
      <c r="W30" s="4"/>
      <c r="X30" s="4"/>
      <c r="Y30" s="4"/>
      <c r="Z30" s="4"/>
      <c r="AA30" s="4"/>
    </row>
    <row r="31" spans="1:27">
      <c r="A31" s="6">
        <v>46075</v>
      </c>
      <c r="B31" s="24" t="s">
        <v>77</v>
      </c>
      <c r="C31" s="19" t="s">
        <v>84</v>
      </c>
      <c r="D31" s="9"/>
      <c r="E31" s="10" t="s">
        <v>45</v>
      </c>
      <c r="F31" s="16" t="s">
        <v>26</v>
      </c>
      <c r="G31" s="12">
        <v>4.5999999999999996</v>
      </c>
      <c r="H31" s="12">
        <v>4.63</v>
      </c>
      <c r="I31" s="12">
        <v>1161</v>
      </c>
      <c r="J31" s="13" t="s">
        <v>85</v>
      </c>
      <c r="K31" s="14">
        <f t="shared" si="0"/>
        <v>1.5333333333333334</v>
      </c>
      <c r="L31" s="13">
        <v>92</v>
      </c>
      <c r="M31" s="13"/>
      <c r="N31" s="15"/>
      <c r="O31" s="4"/>
      <c r="P31" s="4"/>
      <c r="Q31" s="4"/>
      <c r="R31" s="4" t="s">
        <v>16</v>
      </c>
      <c r="S31" s="4"/>
      <c r="T31" s="4"/>
      <c r="V31" s="4"/>
      <c r="W31" s="4"/>
      <c r="X31" s="4"/>
      <c r="Y31" s="4"/>
      <c r="Z31" s="4"/>
      <c r="AA31" s="4"/>
    </row>
    <row r="32" spans="1:27">
      <c r="A32" s="6">
        <v>46075</v>
      </c>
      <c r="B32" s="25" t="s">
        <v>81</v>
      </c>
      <c r="C32" s="20" t="s">
        <v>51</v>
      </c>
      <c r="D32" s="9"/>
      <c r="E32" s="10" t="s">
        <v>86</v>
      </c>
      <c r="F32" s="16" t="s">
        <v>26</v>
      </c>
      <c r="G32" s="12">
        <v>4.51</v>
      </c>
      <c r="H32" s="12">
        <v>4.6100000000000003</v>
      </c>
      <c r="I32" s="12">
        <v>884</v>
      </c>
      <c r="J32" s="13"/>
      <c r="K32" s="14">
        <f t="shared" si="0"/>
        <v>2.8333333333333335</v>
      </c>
      <c r="L32" s="13">
        <v>170</v>
      </c>
      <c r="M32" s="13"/>
      <c r="N32" s="15"/>
      <c r="O32" s="4"/>
      <c r="P32" s="4"/>
      <c r="Q32" s="4"/>
      <c r="R32" s="4" t="s">
        <v>16</v>
      </c>
      <c r="S32" s="4"/>
      <c r="T32" s="4"/>
      <c r="V32" s="4"/>
      <c r="W32" s="4"/>
      <c r="X32" s="4"/>
      <c r="Y32" s="4"/>
      <c r="Z32" s="4"/>
      <c r="AA32" s="4"/>
    </row>
    <row r="33" spans="1:27">
      <c r="A33" s="6">
        <v>46074</v>
      </c>
      <c r="B33" s="26" t="s">
        <v>19</v>
      </c>
      <c r="C33" s="9" t="s">
        <v>87</v>
      </c>
      <c r="D33" s="9"/>
      <c r="E33" s="10" t="s">
        <v>21</v>
      </c>
      <c r="F33" s="11" t="s">
        <v>22</v>
      </c>
      <c r="G33" s="12">
        <v>4.38</v>
      </c>
      <c r="H33" s="12">
        <v>4.3899999999999997</v>
      </c>
      <c r="I33" s="12">
        <v>137</v>
      </c>
      <c r="J33" s="13"/>
      <c r="K33" s="14">
        <f t="shared" si="0"/>
        <v>2.4166666666666665</v>
      </c>
      <c r="L33" s="13">
        <v>145</v>
      </c>
      <c r="M33" s="13"/>
      <c r="N33" s="15"/>
      <c r="O33" s="4"/>
      <c r="P33" s="4"/>
      <c r="Q33" s="4"/>
      <c r="R33" s="4" t="s">
        <v>16</v>
      </c>
      <c r="S33" s="4"/>
      <c r="T33" s="4"/>
      <c r="V33" s="4"/>
      <c r="W33" s="4"/>
      <c r="X33" s="4"/>
      <c r="Y33" s="4"/>
      <c r="Z33" s="4"/>
      <c r="AA33" s="4"/>
    </row>
    <row r="34" spans="1:27">
      <c r="A34" s="6">
        <v>46074</v>
      </c>
      <c r="B34" s="26" t="s">
        <v>23</v>
      </c>
      <c r="C34" s="27" t="s">
        <v>88</v>
      </c>
      <c r="D34" s="9"/>
      <c r="E34" s="10" t="s">
        <v>25</v>
      </c>
      <c r="F34" s="16" t="s">
        <v>26</v>
      </c>
      <c r="G34" s="12">
        <v>4.45</v>
      </c>
      <c r="H34" s="12">
        <v>4.5</v>
      </c>
      <c r="I34" s="12">
        <v>579</v>
      </c>
      <c r="J34" s="13"/>
      <c r="K34" s="14">
        <f t="shared" si="0"/>
        <v>3.2166666666666668</v>
      </c>
      <c r="L34" s="13">
        <v>193</v>
      </c>
      <c r="M34" s="13"/>
      <c r="N34" s="15"/>
      <c r="O34" s="4"/>
      <c r="P34" s="4"/>
      <c r="Q34" s="4"/>
      <c r="R34" s="4" t="s">
        <v>16</v>
      </c>
      <c r="S34" s="4"/>
      <c r="T34" s="4"/>
      <c r="V34" s="4"/>
      <c r="W34" s="4"/>
      <c r="X34" s="4"/>
      <c r="Y34" s="4"/>
      <c r="Z34" s="4"/>
      <c r="AA34" s="4"/>
    </row>
    <row r="35" spans="1:27">
      <c r="A35" s="6">
        <v>46074</v>
      </c>
      <c r="B35" s="26" t="s">
        <v>27</v>
      </c>
      <c r="C35" s="7" t="s">
        <v>28</v>
      </c>
      <c r="D35" s="9"/>
      <c r="E35" s="10" t="s">
        <v>57</v>
      </c>
      <c r="F35" s="16" t="s">
        <v>26</v>
      </c>
      <c r="G35" s="12">
        <v>4.7300000000000004</v>
      </c>
      <c r="H35" s="12">
        <v>4.74</v>
      </c>
      <c r="I35" s="12">
        <v>201</v>
      </c>
      <c r="J35" s="13"/>
      <c r="K35" s="14">
        <f t="shared" si="0"/>
        <v>2.7166666666666668</v>
      </c>
      <c r="L35" s="13">
        <v>163</v>
      </c>
      <c r="M35" s="13"/>
      <c r="N35" s="15"/>
      <c r="O35" s="4"/>
      <c r="P35" s="4"/>
      <c r="Q35" s="4"/>
      <c r="R35" s="4" t="s">
        <v>16</v>
      </c>
      <c r="S35" s="4"/>
      <c r="T35" s="4"/>
      <c r="V35" s="4"/>
      <c r="W35" s="4"/>
      <c r="X35" s="4"/>
      <c r="Y35" s="4"/>
      <c r="Z35" s="4"/>
      <c r="AA35" s="4"/>
    </row>
    <row r="36" spans="1:27">
      <c r="A36" s="6">
        <v>46074</v>
      </c>
      <c r="B36" s="26" t="s">
        <v>77</v>
      </c>
      <c r="C36" s="7" t="s">
        <v>89</v>
      </c>
      <c r="D36" s="9"/>
      <c r="E36" s="10" t="s">
        <v>90</v>
      </c>
      <c r="F36" s="11" t="s">
        <v>22</v>
      </c>
      <c r="G36" s="12">
        <v>4.5999999999999996</v>
      </c>
      <c r="H36" s="12">
        <v>4.63</v>
      </c>
      <c r="I36" s="12">
        <v>234</v>
      </c>
      <c r="J36" s="13"/>
      <c r="K36" s="14">
        <f t="shared" si="0"/>
        <v>1.7666666666666666</v>
      </c>
      <c r="L36" s="13">
        <v>106</v>
      </c>
      <c r="M36" s="13"/>
      <c r="N36" s="15"/>
      <c r="O36" s="4"/>
      <c r="P36" s="4"/>
      <c r="Q36" s="4"/>
      <c r="R36" s="4" t="s">
        <v>16</v>
      </c>
      <c r="S36" s="4"/>
      <c r="T36" s="4"/>
      <c r="V36" s="4"/>
      <c r="W36" s="4"/>
      <c r="X36" s="4"/>
      <c r="Y36" s="4"/>
      <c r="Z36" s="4"/>
      <c r="AA36" s="4"/>
    </row>
    <row r="37" spans="1:27">
      <c r="A37" s="6">
        <v>46074</v>
      </c>
      <c r="B37" s="26" t="s">
        <v>33</v>
      </c>
      <c r="C37" s="9" t="s">
        <v>62</v>
      </c>
      <c r="D37" s="9"/>
      <c r="E37" s="10" t="s">
        <v>32</v>
      </c>
      <c r="F37" s="11" t="s">
        <v>22</v>
      </c>
      <c r="G37" s="12">
        <v>4.62</v>
      </c>
      <c r="H37" s="12">
        <v>4.6900000000000004</v>
      </c>
      <c r="I37" s="12">
        <v>208</v>
      </c>
      <c r="J37" s="13" t="s">
        <v>91</v>
      </c>
      <c r="K37" s="14">
        <f t="shared" si="0"/>
        <v>2.8833333333333333</v>
      </c>
      <c r="L37" s="13">
        <v>173</v>
      </c>
      <c r="M37" s="13"/>
      <c r="N37" s="15"/>
      <c r="O37" s="4"/>
      <c r="P37" s="4"/>
      <c r="Q37" s="4"/>
      <c r="R37" s="4" t="s">
        <v>16</v>
      </c>
      <c r="S37" s="4"/>
      <c r="T37" s="4"/>
      <c r="V37" s="4"/>
      <c r="W37" s="4"/>
      <c r="X37" s="4"/>
      <c r="Y37" s="4"/>
      <c r="Z37" s="4"/>
      <c r="AA37" s="4"/>
    </row>
    <row r="38" spans="1:27">
      <c r="A38" s="6">
        <v>46074</v>
      </c>
      <c r="B38" s="28" t="s">
        <v>77</v>
      </c>
      <c r="C38" s="7" t="s">
        <v>92</v>
      </c>
      <c r="D38" s="9"/>
      <c r="E38" s="10" t="s">
        <v>93</v>
      </c>
      <c r="F38" s="11" t="s">
        <v>22</v>
      </c>
      <c r="G38" s="12">
        <v>4.54</v>
      </c>
      <c r="H38" s="12">
        <v>4.55</v>
      </c>
      <c r="I38" s="12">
        <v>338</v>
      </c>
      <c r="J38" s="13"/>
      <c r="K38" s="14">
        <f t="shared" si="0"/>
        <v>1.65</v>
      </c>
      <c r="L38" s="13">
        <v>99</v>
      </c>
      <c r="M38" s="13"/>
      <c r="N38" s="15"/>
      <c r="O38" s="4"/>
      <c r="P38" s="4"/>
      <c r="Q38" s="4"/>
      <c r="R38" s="4" t="s">
        <v>16</v>
      </c>
      <c r="S38" s="4"/>
      <c r="T38" s="4"/>
      <c r="V38" s="4"/>
      <c r="W38" s="4"/>
      <c r="X38" s="4"/>
      <c r="Y38" s="4"/>
      <c r="Z38" s="4"/>
      <c r="AA38" s="4"/>
    </row>
    <row r="39" spans="1:27">
      <c r="A39" s="6">
        <v>46074</v>
      </c>
      <c r="B39" s="26" t="s">
        <v>33</v>
      </c>
      <c r="C39" s="7" t="s">
        <v>65</v>
      </c>
      <c r="D39" s="9"/>
      <c r="E39" s="10" t="s">
        <v>39</v>
      </c>
      <c r="F39" s="16" t="s">
        <v>26</v>
      </c>
      <c r="G39" s="12">
        <v>4.79</v>
      </c>
      <c r="H39" s="12">
        <v>4.8099999999999996</v>
      </c>
      <c r="I39" s="12">
        <v>761</v>
      </c>
      <c r="J39" s="13"/>
      <c r="K39" s="14">
        <f t="shared" si="0"/>
        <v>3.1166666666666667</v>
      </c>
      <c r="L39" s="13">
        <v>187</v>
      </c>
      <c r="M39" s="13"/>
      <c r="N39" s="15"/>
      <c r="O39" s="4"/>
      <c r="P39" s="4"/>
      <c r="Q39" s="4"/>
      <c r="R39" s="4" t="s">
        <v>16</v>
      </c>
      <c r="S39" s="4"/>
      <c r="T39" s="4"/>
      <c r="V39" s="4"/>
      <c r="W39" s="4"/>
      <c r="X39" s="4"/>
      <c r="Y39" s="4"/>
      <c r="Z39" s="4"/>
      <c r="AA39" s="4"/>
    </row>
    <row r="40" spans="1:27">
      <c r="A40" s="6">
        <v>46074</v>
      </c>
      <c r="B40" s="26" t="s">
        <v>81</v>
      </c>
      <c r="C40" s="7" t="s">
        <v>94</v>
      </c>
      <c r="D40" s="9"/>
      <c r="E40" s="10" t="s">
        <v>95</v>
      </c>
      <c r="F40" s="11" t="s">
        <v>22</v>
      </c>
      <c r="G40" s="12">
        <v>4.7</v>
      </c>
      <c r="H40" s="12">
        <v>4.78</v>
      </c>
      <c r="I40" s="12">
        <v>938</v>
      </c>
      <c r="J40" s="13"/>
      <c r="K40" s="14">
        <f t="shared" si="0"/>
        <v>2.9166666666666665</v>
      </c>
      <c r="L40" s="13">
        <v>175</v>
      </c>
      <c r="M40" s="13"/>
      <c r="N40" s="15"/>
      <c r="O40" s="4"/>
      <c r="P40" s="4"/>
      <c r="Q40" s="4"/>
      <c r="R40" s="4" t="s">
        <v>16</v>
      </c>
      <c r="S40" s="4"/>
      <c r="T40" s="4"/>
      <c r="V40" s="4"/>
      <c r="W40" s="4"/>
      <c r="X40" s="4"/>
      <c r="Y40" s="4"/>
      <c r="Z40" s="4"/>
      <c r="AA40" s="4"/>
    </row>
    <row r="41" spans="1:27">
      <c r="A41" s="6">
        <v>46074</v>
      </c>
      <c r="B41" s="26" t="s">
        <v>77</v>
      </c>
      <c r="C41" s="27" t="s">
        <v>96</v>
      </c>
      <c r="D41" s="9"/>
      <c r="E41" s="10" t="s">
        <v>45</v>
      </c>
      <c r="F41" s="16" t="s">
        <v>26</v>
      </c>
      <c r="G41" s="12">
        <v>4.3499999999999996</v>
      </c>
      <c r="H41" s="12">
        <v>4.42</v>
      </c>
      <c r="I41" s="12">
        <v>1223</v>
      </c>
      <c r="J41" s="13"/>
      <c r="K41" s="14">
        <f t="shared" si="0"/>
        <v>1.3666666666666667</v>
      </c>
      <c r="L41" s="13">
        <v>82</v>
      </c>
      <c r="M41" s="13"/>
      <c r="N41" s="15"/>
      <c r="O41" s="4"/>
      <c r="P41" s="4"/>
      <c r="Q41" s="4"/>
      <c r="R41" s="4" t="s">
        <v>16</v>
      </c>
      <c r="S41" s="4"/>
      <c r="T41" s="4"/>
      <c r="V41" s="4"/>
      <c r="W41" s="4"/>
      <c r="X41" s="4"/>
      <c r="Y41" s="4"/>
      <c r="Z41" s="4"/>
      <c r="AA41" s="4"/>
    </row>
    <row r="42" spans="1:27">
      <c r="A42" s="6">
        <v>46074</v>
      </c>
      <c r="B42" s="22" t="s">
        <v>81</v>
      </c>
      <c r="C42" s="29" t="s">
        <v>71</v>
      </c>
      <c r="D42" s="9"/>
      <c r="E42" s="10" t="s">
        <v>97</v>
      </c>
      <c r="F42" s="16" t="s">
        <v>26</v>
      </c>
      <c r="G42" s="12">
        <v>4.5</v>
      </c>
      <c r="H42" s="12">
        <v>4.4000000000000004</v>
      </c>
      <c r="I42" s="12">
        <v>1082</v>
      </c>
      <c r="J42" s="13"/>
      <c r="K42" s="14">
        <f t="shared" si="0"/>
        <v>2.5499999999999998</v>
      </c>
      <c r="L42" s="13">
        <v>153</v>
      </c>
      <c r="M42" s="13"/>
      <c r="N42" s="15"/>
      <c r="O42" s="4"/>
      <c r="P42" s="4"/>
      <c r="Q42" s="4"/>
      <c r="R42" s="4" t="s">
        <v>16</v>
      </c>
      <c r="S42" s="4"/>
      <c r="T42" s="4"/>
      <c r="V42" s="4"/>
      <c r="W42" s="4"/>
      <c r="X42" s="4"/>
      <c r="Y42" s="4"/>
      <c r="Z42" s="4"/>
      <c r="AA42" s="4"/>
    </row>
    <row r="43" spans="1:27">
      <c r="A43" s="6">
        <v>46068</v>
      </c>
      <c r="B43" s="22" t="s">
        <v>98</v>
      </c>
      <c r="C43" s="19" t="s">
        <v>99</v>
      </c>
      <c r="D43" s="9"/>
      <c r="E43" s="10" t="s">
        <v>21</v>
      </c>
      <c r="F43" s="11" t="s">
        <v>22</v>
      </c>
      <c r="G43" s="12">
        <v>4.18</v>
      </c>
      <c r="H43" s="12">
        <v>4.25</v>
      </c>
      <c r="I43" s="12">
        <v>136</v>
      </c>
      <c r="J43" s="13"/>
      <c r="K43" s="14">
        <f t="shared" si="0"/>
        <v>1.1833333333333333</v>
      </c>
      <c r="L43" s="13">
        <v>71</v>
      </c>
      <c r="M43" s="13"/>
      <c r="N43" s="15"/>
      <c r="O43" s="4"/>
      <c r="P43" s="4"/>
      <c r="Q43" s="4"/>
      <c r="R43" s="4" t="s">
        <v>16</v>
      </c>
      <c r="S43" s="4"/>
      <c r="T43" s="4"/>
      <c r="V43" s="4"/>
      <c r="W43" s="4"/>
      <c r="X43" s="4"/>
      <c r="Y43" s="4"/>
      <c r="Z43" s="4"/>
      <c r="AA43" s="4"/>
    </row>
    <row r="44" spans="1:27">
      <c r="A44" s="6">
        <v>46068</v>
      </c>
      <c r="B44" s="23" t="s">
        <v>37</v>
      </c>
      <c r="C44" s="17" t="s">
        <v>100</v>
      </c>
      <c r="D44" s="9"/>
      <c r="E44" s="10" t="s">
        <v>101</v>
      </c>
      <c r="F44" s="16" t="s">
        <v>26</v>
      </c>
      <c r="G44" s="12">
        <v>4.4800000000000004</v>
      </c>
      <c r="H44" s="12">
        <v>4.49</v>
      </c>
      <c r="I44" s="12">
        <v>224</v>
      </c>
      <c r="J44" s="13"/>
      <c r="K44" s="14">
        <f t="shared" si="0"/>
        <v>1.8666666666666667</v>
      </c>
      <c r="L44" s="13">
        <v>112</v>
      </c>
      <c r="M44" s="13"/>
      <c r="N44" s="15"/>
      <c r="O44" s="4"/>
      <c r="P44" s="4"/>
      <c r="Q44" s="4"/>
      <c r="R44" s="4" t="s">
        <v>16</v>
      </c>
      <c r="S44" s="4"/>
      <c r="T44" s="4"/>
      <c r="V44" s="4"/>
      <c r="W44" s="4"/>
      <c r="X44" s="4"/>
      <c r="Y44" s="4"/>
      <c r="Z44" s="4"/>
      <c r="AA44" s="4"/>
    </row>
    <row r="45" spans="1:27">
      <c r="A45" s="6">
        <v>46068</v>
      </c>
      <c r="B45" s="22" t="s">
        <v>81</v>
      </c>
      <c r="C45" s="20" t="s">
        <v>102</v>
      </c>
      <c r="D45" s="9"/>
      <c r="E45" s="10" t="s">
        <v>103</v>
      </c>
      <c r="F45" s="16" t="s">
        <v>26</v>
      </c>
      <c r="G45" s="12">
        <v>4.76</v>
      </c>
      <c r="H45" s="12">
        <v>4.7699999999999996</v>
      </c>
      <c r="I45" s="12">
        <v>125</v>
      </c>
      <c r="J45" s="13"/>
      <c r="K45" s="14">
        <f t="shared" si="0"/>
        <v>3.7</v>
      </c>
      <c r="L45" s="13">
        <v>222</v>
      </c>
      <c r="M45" s="13"/>
      <c r="N45" s="15"/>
      <c r="O45" s="4"/>
      <c r="P45" s="4"/>
      <c r="Q45" s="4"/>
      <c r="R45" s="4" t="s">
        <v>16</v>
      </c>
      <c r="S45" s="4"/>
      <c r="T45" s="4"/>
      <c r="V45" s="4"/>
      <c r="W45" s="4"/>
      <c r="X45" s="4"/>
      <c r="Y45" s="4"/>
      <c r="Z45" s="4"/>
      <c r="AA45" s="4"/>
    </row>
    <row r="46" spans="1:27">
      <c r="A46" s="6">
        <v>46068</v>
      </c>
      <c r="B46" s="23" t="s">
        <v>47</v>
      </c>
      <c r="C46" s="17" t="s">
        <v>74</v>
      </c>
      <c r="D46" s="9"/>
      <c r="E46" s="10" t="s">
        <v>57</v>
      </c>
      <c r="F46" s="11" t="s">
        <v>22</v>
      </c>
      <c r="G46" s="12">
        <v>4.42</v>
      </c>
      <c r="H46" s="12">
        <v>4.5</v>
      </c>
      <c r="I46" s="12">
        <v>172</v>
      </c>
      <c r="J46" s="13"/>
      <c r="K46" s="14">
        <f t="shared" si="0"/>
        <v>2.2666666666666666</v>
      </c>
      <c r="L46" s="13">
        <v>136</v>
      </c>
      <c r="M46" s="13"/>
      <c r="N46" s="15"/>
      <c r="O46" s="4"/>
      <c r="P46" s="4"/>
      <c r="Q46" s="4"/>
      <c r="R46" s="4" t="s">
        <v>16</v>
      </c>
      <c r="S46" s="4"/>
      <c r="T46" s="4"/>
      <c r="V46" s="4"/>
      <c r="W46" s="4"/>
      <c r="X46" s="4"/>
      <c r="Y46" s="4"/>
      <c r="Z46" s="4"/>
      <c r="AA46" s="4"/>
    </row>
    <row r="47" spans="1:27">
      <c r="A47" s="6">
        <v>46068</v>
      </c>
      <c r="B47" s="24" t="s">
        <v>47</v>
      </c>
      <c r="C47" s="20" t="s">
        <v>61</v>
      </c>
      <c r="D47" s="9"/>
      <c r="E47" s="10" t="s">
        <v>104</v>
      </c>
      <c r="F47" s="16" t="s">
        <v>26</v>
      </c>
      <c r="G47" s="12">
        <v>4.6900000000000004</v>
      </c>
      <c r="H47" s="12">
        <v>4.7300000000000004</v>
      </c>
      <c r="I47" s="12">
        <v>193</v>
      </c>
      <c r="J47" s="13"/>
      <c r="K47" s="14">
        <f t="shared" si="0"/>
        <v>2.1166666666666667</v>
      </c>
      <c r="L47" s="13">
        <v>127</v>
      </c>
      <c r="M47" s="13"/>
      <c r="N47" s="15"/>
      <c r="O47" s="4"/>
      <c r="P47" s="4"/>
      <c r="Q47" s="4"/>
      <c r="R47" s="4" t="s">
        <v>16</v>
      </c>
      <c r="S47" s="4"/>
      <c r="T47" s="4"/>
      <c r="V47" s="4"/>
      <c r="W47" s="4"/>
      <c r="X47" s="4"/>
      <c r="Y47" s="4"/>
      <c r="Z47" s="4"/>
      <c r="AA47" s="4"/>
    </row>
    <row r="48" spans="1:27">
      <c r="A48" s="6">
        <v>46068</v>
      </c>
      <c r="B48" s="23" t="s">
        <v>77</v>
      </c>
      <c r="C48" s="17" t="s">
        <v>78</v>
      </c>
      <c r="D48" s="9"/>
      <c r="E48" s="10" t="s">
        <v>32</v>
      </c>
      <c r="F48" s="11" t="s">
        <v>22</v>
      </c>
      <c r="G48" s="12">
        <v>4.66</v>
      </c>
      <c r="H48" s="12">
        <v>4.63</v>
      </c>
      <c r="I48" s="12">
        <v>239</v>
      </c>
      <c r="J48" s="13"/>
      <c r="K48" s="14">
        <f t="shared" si="0"/>
        <v>1.5833333333333333</v>
      </c>
      <c r="L48" s="13">
        <v>95</v>
      </c>
      <c r="M48" s="13"/>
      <c r="N48" s="15"/>
      <c r="O48" s="4"/>
      <c r="P48" s="4"/>
      <c r="Q48" s="4"/>
      <c r="R48" s="4" t="s">
        <v>16</v>
      </c>
      <c r="S48" s="4"/>
      <c r="T48" s="4"/>
      <c r="V48" s="4"/>
      <c r="W48" s="4"/>
      <c r="X48" s="4"/>
      <c r="Y48" s="4"/>
      <c r="Z48" s="4"/>
      <c r="AA48" s="4"/>
    </row>
    <row r="49" spans="1:27">
      <c r="A49" s="6">
        <v>46068</v>
      </c>
      <c r="B49" s="25" t="s">
        <v>23</v>
      </c>
      <c r="C49" s="7" t="s">
        <v>38</v>
      </c>
      <c r="D49" s="9"/>
      <c r="E49" s="10" t="s">
        <v>105</v>
      </c>
      <c r="F49" s="16" t="s">
        <v>26</v>
      </c>
      <c r="G49" s="12">
        <v>4.51</v>
      </c>
      <c r="H49" s="12">
        <v>4.55</v>
      </c>
      <c r="I49" s="12">
        <v>304</v>
      </c>
      <c r="J49" s="13" t="s">
        <v>106</v>
      </c>
      <c r="K49" s="14">
        <f t="shared" si="0"/>
        <v>3.6333333333333333</v>
      </c>
      <c r="L49" s="13">
        <v>218</v>
      </c>
      <c r="M49" s="13"/>
      <c r="N49" s="15"/>
      <c r="O49" s="4"/>
      <c r="P49" s="4"/>
      <c r="Q49" s="4"/>
      <c r="R49" s="4" t="s">
        <v>16</v>
      </c>
      <c r="S49" s="4"/>
      <c r="T49" s="4"/>
      <c r="V49" s="4"/>
      <c r="W49" s="4"/>
      <c r="X49" s="4"/>
      <c r="Y49" s="4"/>
      <c r="Z49" s="4"/>
      <c r="AA49" s="4"/>
    </row>
    <row r="50" spans="1:27">
      <c r="A50" s="6">
        <v>46068</v>
      </c>
      <c r="B50" s="22" t="s">
        <v>81</v>
      </c>
      <c r="C50" s="20" t="s">
        <v>82</v>
      </c>
      <c r="D50" s="9"/>
      <c r="E50" s="10" t="s">
        <v>107</v>
      </c>
      <c r="F50" s="11" t="s">
        <v>22</v>
      </c>
      <c r="G50" s="12">
        <v>4.67</v>
      </c>
      <c r="H50" s="12">
        <v>4.7300000000000004</v>
      </c>
      <c r="I50" s="12">
        <v>549</v>
      </c>
      <c r="J50" s="13"/>
      <c r="K50" s="14">
        <f t="shared" si="0"/>
        <v>3.05</v>
      </c>
      <c r="L50" s="13">
        <v>183</v>
      </c>
      <c r="M50" s="13"/>
      <c r="N50" s="15"/>
      <c r="O50" s="4"/>
      <c r="P50" s="4"/>
      <c r="Q50" s="4"/>
      <c r="R50" s="4" t="s">
        <v>16</v>
      </c>
      <c r="S50" s="4"/>
      <c r="T50" s="4"/>
      <c r="V50" s="4"/>
      <c r="W50" s="4"/>
      <c r="X50" s="4"/>
      <c r="Y50" s="4"/>
      <c r="Z50" s="4"/>
      <c r="AA50" s="4"/>
    </row>
    <row r="51" spans="1:27">
      <c r="A51" s="6">
        <v>46068</v>
      </c>
      <c r="B51" s="25" t="s">
        <v>108</v>
      </c>
      <c r="C51" s="29" t="s">
        <v>67</v>
      </c>
      <c r="D51" s="9"/>
      <c r="E51" s="10" t="s">
        <v>109</v>
      </c>
      <c r="F51" s="16" t="s">
        <v>26</v>
      </c>
      <c r="G51" s="12">
        <v>4.34</v>
      </c>
      <c r="H51" s="12">
        <v>4.3099999999999996</v>
      </c>
      <c r="I51" s="12">
        <v>1075</v>
      </c>
      <c r="J51" s="13"/>
      <c r="K51" s="14">
        <f t="shared" si="0"/>
        <v>2.2833333333333332</v>
      </c>
      <c r="L51" s="13">
        <v>137</v>
      </c>
      <c r="M51" s="13"/>
      <c r="N51" s="15"/>
      <c r="O51" s="4"/>
      <c r="P51" s="4"/>
      <c r="Q51" s="4"/>
      <c r="R51" s="4" t="s">
        <v>16</v>
      </c>
      <c r="S51" s="4"/>
      <c r="T51" s="4"/>
      <c r="V51" s="4"/>
      <c r="W51" s="4"/>
      <c r="X51" s="4"/>
      <c r="Y51" s="4"/>
      <c r="Z51" s="4"/>
      <c r="AA51" s="4"/>
    </row>
    <row r="52" spans="1:27">
      <c r="A52" s="6">
        <v>46068</v>
      </c>
      <c r="B52" s="24" t="s">
        <v>81</v>
      </c>
      <c r="C52" s="19" t="s">
        <v>110</v>
      </c>
      <c r="D52" s="9"/>
      <c r="E52" s="10" t="s">
        <v>111</v>
      </c>
      <c r="F52" s="11" t="s">
        <v>22</v>
      </c>
      <c r="G52" s="12">
        <v>4.54</v>
      </c>
      <c r="H52" s="12">
        <v>4.41</v>
      </c>
      <c r="I52" s="12">
        <v>1209</v>
      </c>
      <c r="J52" s="13"/>
      <c r="K52" s="14">
        <f t="shared" si="0"/>
        <v>2.95</v>
      </c>
      <c r="L52" s="13">
        <v>177</v>
      </c>
      <c r="M52" s="13"/>
      <c r="N52" s="15"/>
      <c r="O52" s="4"/>
      <c r="P52" s="4"/>
      <c r="Q52" s="4"/>
      <c r="R52" s="4" t="s">
        <v>16</v>
      </c>
      <c r="S52" s="4"/>
      <c r="T52" s="4"/>
      <c r="V52" s="4"/>
      <c r="W52" s="4"/>
      <c r="X52" s="4"/>
      <c r="Y52" s="4"/>
      <c r="Z52" s="4"/>
      <c r="AA52" s="4"/>
    </row>
    <row r="53" spans="1:27">
      <c r="A53" s="6">
        <v>46067</v>
      </c>
      <c r="B53" s="28" t="s">
        <v>98</v>
      </c>
      <c r="C53" s="9" t="s">
        <v>112</v>
      </c>
      <c r="D53" s="9"/>
      <c r="E53" s="10" t="s">
        <v>21</v>
      </c>
      <c r="F53" s="11" t="s">
        <v>22</v>
      </c>
      <c r="G53" s="30">
        <v>4.3600000000000003</v>
      </c>
      <c r="H53" s="30">
        <v>4.3899999999999997</v>
      </c>
      <c r="I53" s="30">
        <v>147</v>
      </c>
      <c r="J53" s="13"/>
      <c r="K53" s="14">
        <f t="shared" si="0"/>
        <v>1.2</v>
      </c>
      <c r="L53" s="13">
        <v>72</v>
      </c>
      <c r="M53" s="13"/>
      <c r="N53" s="15"/>
      <c r="O53" s="4"/>
      <c r="P53" s="4"/>
      <c r="Q53" s="4"/>
      <c r="R53" s="4" t="s">
        <v>16</v>
      </c>
      <c r="S53" s="4"/>
      <c r="T53" s="4"/>
      <c r="V53" s="4"/>
      <c r="W53" s="4"/>
      <c r="X53" s="4"/>
      <c r="Y53" s="4"/>
      <c r="Z53" s="4"/>
      <c r="AA53" s="4"/>
    </row>
    <row r="54" spans="1:27">
      <c r="A54" s="6">
        <v>46067</v>
      </c>
      <c r="B54" s="26" t="s">
        <v>47</v>
      </c>
      <c r="C54" s="9" t="s">
        <v>113</v>
      </c>
      <c r="D54" s="9"/>
      <c r="E54" s="10" t="s">
        <v>101</v>
      </c>
      <c r="F54" s="16" t="s">
        <v>26</v>
      </c>
      <c r="G54" s="30">
        <v>4.5999999999999996</v>
      </c>
      <c r="H54" s="30">
        <v>4.66</v>
      </c>
      <c r="I54" s="30">
        <v>238</v>
      </c>
      <c r="J54" s="13"/>
      <c r="K54" s="14">
        <f t="shared" si="0"/>
        <v>2.15</v>
      </c>
      <c r="L54" s="13">
        <v>129</v>
      </c>
      <c r="M54" s="13"/>
      <c r="N54" s="15"/>
      <c r="O54" s="4"/>
      <c r="P54" s="4"/>
      <c r="Q54" s="4"/>
      <c r="R54" s="4" t="s">
        <v>16</v>
      </c>
      <c r="S54" s="4"/>
      <c r="T54" s="4"/>
      <c r="V54" s="4"/>
      <c r="W54" s="4"/>
      <c r="X54" s="4"/>
      <c r="Y54" s="4"/>
      <c r="Z54" s="4"/>
      <c r="AA54" s="4"/>
    </row>
    <row r="55" spans="1:27">
      <c r="A55" s="6">
        <v>46067</v>
      </c>
      <c r="B55" s="26" t="s">
        <v>81</v>
      </c>
      <c r="C55" s="9" t="s">
        <v>114</v>
      </c>
      <c r="D55" s="9"/>
      <c r="E55" s="10" t="s">
        <v>115</v>
      </c>
      <c r="F55" s="16" t="s">
        <v>26</v>
      </c>
      <c r="G55" s="30">
        <v>4.63</v>
      </c>
      <c r="H55" s="30">
        <v>4.6399999999999997</v>
      </c>
      <c r="I55" s="30">
        <v>133</v>
      </c>
      <c r="J55" s="13"/>
      <c r="K55" s="14">
        <f t="shared" si="0"/>
        <v>2.4833333333333334</v>
      </c>
      <c r="L55" s="13">
        <v>149</v>
      </c>
      <c r="M55" s="13"/>
      <c r="N55" s="15"/>
      <c r="O55" s="4"/>
      <c r="P55" s="4"/>
      <c r="Q55" s="4"/>
      <c r="R55" s="4" t="s">
        <v>16</v>
      </c>
      <c r="S55" s="4"/>
      <c r="T55" s="4"/>
      <c r="V55" s="4"/>
      <c r="W55" s="4"/>
      <c r="X55" s="4"/>
      <c r="Y55" s="4"/>
      <c r="Z55" s="4"/>
      <c r="AA55" s="4"/>
    </row>
    <row r="56" spans="1:27">
      <c r="A56" s="6">
        <v>46067</v>
      </c>
      <c r="B56" s="26" t="s">
        <v>37</v>
      </c>
      <c r="C56" s="7" t="s">
        <v>116</v>
      </c>
      <c r="D56" s="9"/>
      <c r="E56" s="10" t="s">
        <v>117</v>
      </c>
      <c r="F56" s="16" t="s">
        <v>26</v>
      </c>
      <c r="G56" s="30">
        <v>4.55</v>
      </c>
      <c r="H56" s="30">
        <v>4.5</v>
      </c>
      <c r="I56" s="30">
        <v>159</v>
      </c>
      <c r="J56" s="13"/>
      <c r="K56" s="14">
        <f t="shared" si="0"/>
        <v>2</v>
      </c>
      <c r="L56" s="13">
        <v>120</v>
      </c>
      <c r="M56" s="13"/>
      <c r="N56" s="15"/>
      <c r="O56" s="4"/>
      <c r="P56" s="4"/>
      <c r="Q56" s="4"/>
      <c r="R56" s="4" t="s">
        <v>16</v>
      </c>
      <c r="S56" s="4"/>
      <c r="T56" s="4"/>
      <c r="V56" s="4"/>
      <c r="W56" s="4"/>
      <c r="X56" s="4"/>
      <c r="Y56" s="4"/>
      <c r="Z56" s="4"/>
      <c r="AA56" s="4"/>
    </row>
    <row r="57" spans="1:27">
      <c r="A57" s="6">
        <v>46067</v>
      </c>
      <c r="B57" s="26" t="s">
        <v>77</v>
      </c>
      <c r="C57" s="7" t="s">
        <v>89</v>
      </c>
      <c r="D57" s="9"/>
      <c r="E57" s="10" t="s">
        <v>57</v>
      </c>
      <c r="F57" s="11" t="s">
        <v>22</v>
      </c>
      <c r="G57" s="30">
        <v>4.59</v>
      </c>
      <c r="H57" s="30">
        <v>4.66</v>
      </c>
      <c r="I57" s="30">
        <v>272</v>
      </c>
      <c r="J57" s="13"/>
      <c r="K57" s="14">
        <f t="shared" si="0"/>
        <v>1.7</v>
      </c>
      <c r="L57" s="13">
        <v>102</v>
      </c>
      <c r="M57" s="13"/>
      <c r="N57" s="15"/>
      <c r="O57" s="4"/>
      <c r="P57" s="4"/>
      <c r="Q57" s="4"/>
      <c r="R57" s="4" t="s">
        <v>16</v>
      </c>
      <c r="S57" s="4"/>
      <c r="T57" s="4"/>
      <c r="V57" s="4"/>
      <c r="W57" s="4"/>
      <c r="X57" s="4"/>
      <c r="Y57" s="4"/>
      <c r="Z57" s="4"/>
      <c r="AA57" s="4"/>
    </row>
    <row r="58" spans="1:27">
      <c r="A58" s="6">
        <v>46067</v>
      </c>
      <c r="B58" s="31" t="s">
        <v>30</v>
      </c>
      <c r="C58" s="7" t="s">
        <v>31</v>
      </c>
      <c r="D58" s="9"/>
      <c r="E58" s="10" t="s">
        <v>118</v>
      </c>
      <c r="F58" s="11" t="s">
        <v>22</v>
      </c>
      <c r="G58" s="30">
        <v>4.6500000000000004</v>
      </c>
      <c r="H58" s="30">
        <v>4.6399999999999997</v>
      </c>
      <c r="I58" s="30">
        <v>213</v>
      </c>
      <c r="J58" s="13"/>
      <c r="K58" s="14">
        <f t="shared" si="0"/>
        <v>2.15</v>
      </c>
      <c r="L58" s="13">
        <v>129</v>
      </c>
      <c r="M58" s="13"/>
      <c r="N58" s="15"/>
      <c r="O58" s="4"/>
      <c r="P58" s="4"/>
      <c r="Q58" s="4"/>
      <c r="R58" s="4" t="s">
        <v>16</v>
      </c>
      <c r="S58" s="4"/>
      <c r="T58" s="4"/>
      <c r="V58" s="4"/>
      <c r="W58" s="4"/>
      <c r="X58" s="4"/>
      <c r="Y58" s="4"/>
      <c r="Z58" s="4"/>
      <c r="AA58" s="4"/>
    </row>
    <row r="59" spans="1:27">
      <c r="A59" s="6">
        <v>46067</v>
      </c>
      <c r="B59" s="26" t="s">
        <v>77</v>
      </c>
      <c r="C59" s="9" t="s">
        <v>92</v>
      </c>
      <c r="D59" s="9"/>
      <c r="E59" s="10" t="s">
        <v>32</v>
      </c>
      <c r="F59" s="11" t="s">
        <v>22</v>
      </c>
      <c r="G59" s="30">
        <v>4.6100000000000003</v>
      </c>
      <c r="H59" s="30">
        <v>4.6500000000000004</v>
      </c>
      <c r="I59" s="30">
        <v>268</v>
      </c>
      <c r="J59" s="13"/>
      <c r="K59" s="14">
        <f t="shared" si="0"/>
        <v>1.55</v>
      </c>
      <c r="L59" s="13">
        <v>93</v>
      </c>
      <c r="M59" s="13"/>
      <c r="N59" s="15"/>
      <c r="O59" s="4"/>
      <c r="P59" s="4"/>
      <c r="Q59" s="4"/>
      <c r="R59" s="4" t="s">
        <v>16</v>
      </c>
      <c r="S59" s="4"/>
      <c r="T59" s="4"/>
      <c r="V59" s="4"/>
      <c r="W59" s="4"/>
      <c r="X59" s="4"/>
      <c r="Y59" s="4"/>
      <c r="Z59" s="4"/>
      <c r="AA59" s="4"/>
    </row>
    <row r="60" spans="1:27">
      <c r="A60" s="6">
        <v>46067</v>
      </c>
      <c r="B60" s="28" t="s">
        <v>23</v>
      </c>
      <c r="C60" s="29" t="s">
        <v>64</v>
      </c>
      <c r="D60" s="9"/>
      <c r="E60" s="10" t="s">
        <v>105</v>
      </c>
      <c r="F60" s="16" t="s">
        <v>26</v>
      </c>
      <c r="G60" s="30">
        <v>4.41</v>
      </c>
      <c r="H60" s="30">
        <v>4.43</v>
      </c>
      <c r="I60" s="30">
        <v>345</v>
      </c>
      <c r="J60" s="13" t="s">
        <v>119</v>
      </c>
      <c r="K60" s="14">
        <f t="shared" si="0"/>
        <v>3.5833333333333335</v>
      </c>
      <c r="L60" s="13">
        <v>215</v>
      </c>
      <c r="M60" s="13"/>
      <c r="N60" s="15"/>
      <c r="O60" s="4"/>
      <c r="P60" s="4"/>
      <c r="Q60" s="4"/>
      <c r="R60" s="4" t="s">
        <v>16</v>
      </c>
      <c r="S60" s="4"/>
      <c r="T60" s="4"/>
      <c r="V60" s="4"/>
      <c r="W60" s="4"/>
      <c r="X60" s="4"/>
      <c r="Y60" s="4"/>
      <c r="Z60" s="4"/>
      <c r="AA60" s="4"/>
    </row>
    <row r="61" spans="1:27">
      <c r="A61" s="6">
        <v>46067</v>
      </c>
      <c r="B61" s="26" t="s">
        <v>81</v>
      </c>
      <c r="C61" s="7" t="s">
        <v>94</v>
      </c>
      <c r="D61" s="9"/>
      <c r="E61" s="10" t="s">
        <v>120</v>
      </c>
      <c r="F61" s="11" t="s">
        <v>22</v>
      </c>
      <c r="G61" s="30">
        <v>4.74</v>
      </c>
      <c r="H61" s="30">
        <v>4.76</v>
      </c>
      <c r="I61" s="30">
        <v>623</v>
      </c>
      <c r="J61" s="13"/>
      <c r="K61" s="14">
        <f t="shared" si="0"/>
        <v>2.8333333333333335</v>
      </c>
      <c r="L61" s="13">
        <v>170</v>
      </c>
      <c r="M61" s="13"/>
      <c r="N61" s="15"/>
      <c r="O61" s="4"/>
      <c r="P61" s="4"/>
      <c r="Q61" s="4"/>
      <c r="R61" s="4" t="s">
        <v>16</v>
      </c>
      <c r="S61" s="4"/>
      <c r="T61" s="4"/>
      <c r="V61" s="4"/>
      <c r="W61" s="4"/>
      <c r="X61" s="4"/>
      <c r="Y61" s="4"/>
      <c r="Z61" s="4"/>
      <c r="AA61" s="4"/>
    </row>
    <row r="62" spans="1:27">
      <c r="A62" s="6">
        <v>46067</v>
      </c>
      <c r="B62" s="26" t="s">
        <v>33</v>
      </c>
      <c r="C62" s="7" t="s">
        <v>44</v>
      </c>
      <c r="D62" s="9"/>
      <c r="E62" s="10" t="s">
        <v>121</v>
      </c>
      <c r="F62" s="16" t="s">
        <v>26</v>
      </c>
      <c r="G62" s="30">
        <v>4.67</v>
      </c>
      <c r="H62" s="30">
        <v>4.71</v>
      </c>
      <c r="I62" s="30">
        <v>1115</v>
      </c>
      <c r="J62" s="13" t="s">
        <v>122</v>
      </c>
      <c r="K62" s="14">
        <f t="shared" si="0"/>
        <v>4.25</v>
      </c>
      <c r="L62" s="13">
        <v>255</v>
      </c>
      <c r="M62" s="13"/>
      <c r="N62" s="15"/>
      <c r="O62" s="4"/>
      <c r="P62" s="4"/>
      <c r="Q62" s="4"/>
      <c r="R62" s="4" t="s">
        <v>16</v>
      </c>
      <c r="S62" s="4"/>
      <c r="T62" s="4"/>
      <c r="V62" s="4"/>
      <c r="W62" s="4"/>
      <c r="X62" s="4"/>
      <c r="Y62" s="4"/>
      <c r="Z62" s="4"/>
      <c r="AA62" s="4"/>
    </row>
    <row r="63" spans="1:27">
      <c r="A63" s="6">
        <v>46067</v>
      </c>
      <c r="B63" s="26" t="s">
        <v>81</v>
      </c>
      <c r="C63" s="9" t="s">
        <v>123</v>
      </c>
      <c r="D63" s="9"/>
      <c r="E63" s="10" t="s">
        <v>111</v>
      </c>
      <c r="F63" s="11" t="s">
        <v>22</v>
      </c>
      <c r="G63" s="15">
        <v>4.54</v>
      </c>
      <c r="H63" s="30">
        <v>4.4800000000000004</v>
      </c>
      <c r="I63" s="30">
        <v>1554</v>
      </c>
      <c r="J63" s="13"/>
      <c r="K63" s="14">
        <f t="shared" si="0"/>
        <v>2.4333333333333331</v>
      </c>
      <c r="L63" s="13">
        <v>146</v>
      </c>
      <c r="M63" s="13"/>
      <c r="N63" s="15"/>
      <c r="O63" s="4"/>
      <c r="P63" s="4"/>
      <c r="Q63" s="4"/>
      <c r="R63" s="4" t="s">
        <v>16</v>
      </c>
      <c r="S63" s="4"/>
      <c r="T63" s="4"/>
      <c r="V63" s="4"/>
      <c r="W63" s="4"/>
      <c r="X63" s="4"/>
      <c r="Y63" s="4"/>
      <c r="Z63" s="4"/>
      <c r="AA63" s="4"/>
    </row>
    <row r="64" spans="1:27">
      <c r="A64" s="6">
        <v>46061</v>
      </c>
      <c r="B64" s="32" t="s">
        <v>98</v>
      </c>
      <c r="C64" s="33" t="s">
        <v>124</v>
      </c>
      <c r="D64" s="9"/>
      <c r="E64" s="34" t="s">
        <v>21</v>
      </c>
      <c r="F64" s="35" t="s">
        <v>22</v>
      </c>
      <c r="G64" s="36">
        <v>4.03</v>
      </c>
      <c r="H64" s="36">
        <v>4.05</v>
      </c>
      <c r="I64" s="36">
        <v>176</v>
      </c>
      <c r="J64" s="13"/>
      <c r="K64" s="14">
        <f t="shared" si="0"/>
        <v>1.35</v>
      </c>
      <c r="L64" s="13">
        <v>81</v>
      </c>
      <c r="M64" s="13"/>
      <c r="N64" s="15"/>
      <c r="O64" s="4"/>
      <c r="P64" s="4"/>
      <c r="Q64" s="4"/>
      <c r="R64" s="4" t="s">
        <v>16</v>
      </c>
      <c r="S64" s="4"/>
      <c r="T64" s="4"/>
      <c r="V64" s="4"/>
      <c r="W64" s="4"/>
      <c r="X64" s="4"/>
      <c r="Y64" s="4"/>
      <c r="Z64" s="4"/>
      <c r="AA64" s="4"/>
    </row>
    <row r="65" spans="1:27">
      <c r="A65" s="6">
        <v>46061</v>
      </c>
      <c r="B65" s="37" t="s">
        <v>125</v>
      </c>
      <c r="C65" s="38" t="s">
        <v>126</v>
      </c>
      <c r="D65" s="9"/>
      <c r="E65" s="39" t="s">
        <v>127</v>
      </c>
      <c r="F65" s="40" t="s">
        <v>26</v>
      </c>
      <c r="G65" s="41">
        <v>4.62</v>
      </c>
      <c r="H65" s="41">
        <v>4.6500000000000004</v>
      </c>
      <c r="I65" s="41">
        <v>262</v>
      </c>
      <c r="J65" s="13"/>
      <c r="K65" s="14">
        <f t="shared" si="0"/>
        <v>2.5</v>
      </c>
      <c r="L65" s="13">
        <v>150</v>
      </c>
      <c r="M65" s="13"/>
      <c r="N65" s="15"/>
      <c r="O65" s="4"/>
      <c r="P65" s="4"/>
      <c r="Q65" s="4"/>
      <c r="R65" s="4" t="s">
        <v>16</v>
      </c>
      <c r="S65" s="4"/>
      <c r="T65" s="4"/>
      <c r="V65" s="4"/>
      <c r="W65" s="4"/>
      <c r="X65" s="4"/>
      <c r="Y65" s="4"/>
      <c r="Z65" s="4"/>
      <c r="AA65" s="4"/>
    </row>
    <row r="66" spans="1:27">
      <c r="A66" s="6">
        <v>46061</v>
      </c>
      <c r="B66" s="32" t="s">
        <v>23</v>
      </c>
      <c r="C66" s="42" t="s">
        <v>128</v>
      </c>
      <c r="D66" s="9"/>
      <c r="E66" s="34" t="s">
        <v>129</v>
      </c>
      <c r="F66" s="43" t="s">
        <v>26</v>
      </c>
      <c r="G66" s="36">
        <v>4.5199999999999996</v>
      </c>
      <c r="H66" s="36">
        <v>4.55</v>
      </c>
      <c r="I66" s="36">
        <v>129</v>
      </c>
      <c r="J66" s="13"/>
      <c r="K66" s="14">
        <f t="shared" si="0"/>
        <v>2.3166666666666669</v>
      </c>
      <c r="L66" s="13">
        <v>139</v>
      </c>
      <c r="M66" s="13"/>
      <c r="N66" s="15"/>
      <c r="O66" s="4"/>
      <c r="P66" s="4"/>
      <c r="Q66" s="4"/>
      <c r="R66" s="4" t="s">
        <v>16</v>
      </c>
      <c r="S66" s="4"/>
      <c r="T66" s="4"/>
      <c r="V66" s="4"/>
      <c r="W66" s="4"/>
      <c r="X66" s="4"/>
      <c r="Y66" s="4"/>
      <c r="Z66" s="4"/>
      <c r="AA66" s="4"/>
    </row>
    <row r="67" spans="1:27">
      <c r="A67" s="6">
        <v>46061</v>
      </c>
      <c r="B67" s="37" t="s">
        <v>30</v>
      </c>
      <c r="C67" s="44" t="s">
        <v>31</v>
      </c>
      <c r="D67" s="9"/>
      <c r="E67" s="39" t="s">
        <v>57</v>
      </c>
      <c r="F67" s="45" t="s">
        <v>22</v>
      </c>
      <c r="G67" s="41">
        <v>4.63</v>
      </c>
      <c r="H67" s="41">
        <v>4.66</v>
      </c>
      <c r="I67" s="41">
        <v>160</v>
      </c>
      <c r="J67" s="13"/>
      <c r="K67" s="14">
        <f t="shared" si="0"/>
        <v>2.15</v>
      </c>
      <c r="L67" s="13">
        <v>129</v>
      </c>
      <c r="M67" s="13"/>
      <c r="N67" s="15"/>
      <c r="O67" s="4"/>
      <c r="P67" s="4"/>
      <c r="Q67" s="4"/>
      <c r="R67" s="4" t="s">
        <v>16</v>
      </c>
      <c r="S67" s="4"/>
      <c r="T67" s="4"/>
      <c r="V67" s="4"/>
      <c r="W67" s="4"/>
      <c r="X67" s="4"/>
      <c r="Y67" s="4"/>
      <c r="Z67" s="4"/>
      <c r="AA67" s="4"/>
    </row>
    <row r="68" spans="1:27">
      <c r="A68" s="6">
        <v>46061</v>
      </c>
      <c r="B68" s="32" t="s">
        <v>33</v>
      </c>
      <c r="C68" s="46" t="s">
        <v>34</v>
      </c>
      <c r="D68" s="9"/>
      <c r="E68" s="10" t="s">
        <v>118</v>
      </c>
      <c r="F68" s="16" t="s">
        <v>26</v>
      </c>
      <c r="G68" s="30">
        <v>4.79</v>
      </c>
      <c r="H68" s="30">
        <v>4.8</v>
      </c>
      <c r="I68" s="47">
        <v>202</v>
      </c>
      <c r="J68" s="13" t="s">
        <v>130</v>
      </c>
      <c r="K68" s="14">
        <f t="shared" si="0"/>
        <v>4.6500000000000004</v>
      </c>
      <c r="L68" s="13">
        <v>279</v>
      </c>
      <c r="M68" s="13"/>
      <c r="N68" s="15"/>
      <c r="O68" s="4"/>
      <c r="P68" s="4"/>
      <c r="Q68" s="4"/>
      <c r="R68" s="4" t="s">
        <v>16</v>
      </c>
      <c r="S68" s="4"/>
      <c r="T68" s="4"/>
      <c r="V68" s="4"/>
      <c r="W68" s="4"/>
      <c r="X68" s="4"/>
      <c r="Y68" s="4"/>
      <c r="Z68" s="4"/>
      <c r="AA68" s="4"/>
    </row>
    <row r="69" spans="1:27">
      <c r="A69" s="6">
        <v>46061</v>
      </c>
      <c r="B69" s="37" t="s">
        <v>37</v>
      </c>
      <c r="C69" s="38" t="s">
        <v>38</v>
      </c>
      <c r="D69" s="9"/>
      <c r="E69" s="10" t="s">
        <v>32</v>
      </c>
      <c r="F69" s="16" t="s">
        <v>26</v>
      </c>
      <c r="G69" s="30">
        <v>4.51</v>
      </c>
      <c r="H69" s="30">
        <v>4.51</v>
      </c>
      <c r="I69" s="47">
        <v>299</v>
      </c>
      <c r="J69" s="13" t="s">
        <v>131</v>
      </c>
      <c r="K69" s="14">
        <f t="shared" si="0"/>
        <v>3.1</v>
      </c>
      <c r="L69" s="13">
        <v>186</v>
      </c>
      <c r="M69" s="13"/>
      <c r="N69" s="15"/>
      <c r="O69" s="4"/>
      <c r="P69" s="4"/>
      <c r="Q69" s="4"/>
      <c r="R69" s="4" t="s">
        <v>16</v>
      </c>
      <c r="S69" s="4"/>
      <c r="T69" s="4"/>
      <c r="V69" s="4"/>
      <c r="W69" s="4"/>
      <c r="X69" s="4"/>
      <c r="Y69" s="4"/>
      <c r="Z69" s="4"/>
      <c r="AA69" s="4"/>
    </row>
    <row r="70" spans="1:27">
      <c r="A70" s="6">
        <v>46061</v>
      </c>
      <c r="B70" s="31" t="s">
        <v>132</v>
      </c>
      <c r="C70" s="48" t="s">
        <v>41</v>
      </c>
      <c r="D70" s="9"/>
      <c r="E70" s="10" t="s">
        <v>133</v>
      </c>
      <c r="F70" s="16" t="s">
        <v>26</v>
      </c>
      <c r="G70" s="30">
        <v>4.24</v>
      </c>
      <c r="H70" s="30">
        <v>4.25</v>
      </c>
      <c r="I70" s="47">
        <v>408</v>
      </c>
      <c r="J70" s="13" t="s">
        <v>134</v>
      </c>
      <c r="K70" s="14">
        <f t="shared" si="0"/>
        <v>3.35</v>
      </c>
      <c r="L70" s="13">
        <v>201</v>
      </c>
      <c r="M70" s="13"/>
      <c r="N70" s="15"/>
      <c r="O70" s="4"/>
      <c r="P70" s="4"/>
      <c r="Q70" s="4"/>
      <c r="R70" s="4" t="s">
        <v>16</v>
      </c>
      <c r="S70" s="4"/>
      <c r="T70" s="4"/>
      <c r="V70" s="4"/>
      <c r="W70" s="4"/>
      <c r="X70" s="4"/>
      <c r="Y70" s="4"/>
      <c r="Z70" s="4"/>
      <c r="AA70" s="4"/>
    </row>
    <row r="71" spans="1:27">
      <c r="A71" s="6">
        <v>46061</v>
      </c>
      <c r="B71" s="49" t="s">
        <v>77</v>
      </c>
      <c r="C71" s="46" t="s">
        <v>84</v>
      </c>
      <c r="D71" s="9"/>
      <c r="E71" s="10" t="s">
        <v>121</v>
      </c>
      <c r="F71" s="40" t="s">
        <v>26</v>
      </c>
      <c r="G71" s="41">
        <v>4.6100000000000003</v>
      </c>
      <c r="H71" s="41">
        <v>4.67</v>
      </c>
      <c r="I71" s="50">
        <v>1197</v>
      </c>
      <c r="J71" s="51"/>
      <c r="K71" s="52">
        <f t="shared" si="0"/>
        <v>1.5333333333333334</v>
      </c>
      <c r="L71" s="51">
        <v>92</v>
      </c>
      <c r="M71" s="51"/>
      <c r="N71" s="53"/>
      <c r="O71" s="54"/>
      <c r="P71" s="54"/>
      <c r="Q71" s="54"/>
      <c r="R71" s="54" t="s">
        <v>16</v>
      </c>
      <c r="S71" s="54"/>
      <c r="T71" s="54"/>
      <c r="V71" s="4"/>
      <c r="W71" s="4"/>
      <c r="X71" s="4"/>
      <c r="Y71" s="4"/>
      <c r="Z71" s="4"/>
      <c r="AA71" s="4"/>
    </row>
    <row r="72" spans="1:27">
      <c r="A72" s="6">
        <v>46060</v>
      </c>
      <c r="B72" s="23" t="s">
        <v>135</v>
      </c>
      <c r="C72" s="17" t="s">
        <v>136</v>
      </c>
      <c r="D72" s="9"/>
      <c r="E72" s="34" t="s">
        <v>21</v>
      </c>
      <c r="F72" s="35" t="s">
        <v>22</v>
      </c>
      <c r="G72" s="36">
        <v>4.4000000000000004</v>
      </c>
      <c r="H72" s="36">
        <v>4.3899999999999997</v>
      </c>
      <c r="I72" s="47">
        <v>214</v>
      </c>
      <c r="J72" s="13"/>
      <c r="K72" s="14">
        <f t="shared" si="0"/>
        <v>1.2666666666666666</v>
      </c>
      <c r="L72" s="13">
        <v>76</v>
      </c>
      <c r="M72" s="13"/>
      <c r="N72" s="15"/>
      <c r="O72" s="4"/>
      <c r="P72" s="4"/>
      <c r="Q72" s="4"/>
      <c r="R72" s="4" t="s">
        <v>16</v>
      </c>
      <c r="S72" s="4"/>
      <c r="T72" s="4"/>
      <c r="V72" s="4"/>
      <c r="W72" s="4"/>
      <c r="X72" s="4"/>
      <c r="Y72" s="4"/>
      <c r="Z72" s="4"/>
      <c r="AA72" s="4"/>
    </row>
    <row r="73" spans="1:27">
      <c r="A73" s="6">
        <v>46060</v>
      </c>
      <c r="B73" s="24" t="s">
        <v>137</v>
      </c>
      <c r="C73" s="20" t="s">
        <v>56</v>
      </c>
      <c r="D73" s="9"/>
      <c r="E73" s="39" t="s">
        <v>117</v>
      </c>
      <c r="F73" s="40" t="s">
        <v>26</v>
      </c>
      <c r="G73" s="41">
        <v>4.38</v>
      </c>
      <c r="H73" s="41">
        <v>4.3600000000000003</v>
      </c>
      <c r="I73" s="47">
        <v>103</v>
      </c>
      <c r="J73" s="13"/>
      <c r="K73" s="14">
        <f t="shared" si="0"/>
        <v>1.1666666666666667</v>
      </c>
      <c r="L73" s="13">
        <v>70</v>
      </c>
      <c r="M73" s="13"/>
      <c r="N73" s="15"/>
      <c r="O73" s="4"/>
      <c r="P73" s="4"/>
      <c r="Q73" s="4"/>
      <c r="R73" s="4" t="s">
        <v>16</v>
      </c>
      <c r="S73" s="4"/>
      <c r="T73" s="4"/>
      <c r="V73" s="4"/>
      <c r="W73" s="4"/>
      <c r="X73" s="4"/>
      <c r="Y73" s="4"/>
      <c r="Z73" s="4"/>
      <c r="AA73" s="4"/>
    </row>
    <row r="74" spans="1:27">
      <c r="A74" s="6">
        <v>46060</v>
      </c>
      <c r="B74" s="25" t="s">
        <v>108</v>
      </c>
      <c r="C74" s="18" t="s">
        <v>138</v>
      </c>
      <c r="D74" s="9"/>
      <c r="E74" s="34" t="s">
        <v>57</v>
      </c>
      <c r="F74" s="43" t="s">
        <v>26</v>
      </c>
      <c r="G74" s="36">
        <v>4.5599999999999996</v>
      </c>
      <c r="H74" s="36">
        <v>4.5599999999999996</v>
      </c>
      <c r="I74" s="47">
        <v>285</v>
      </c>
      <c r="J74" s="13"/>
      <c r="K74" s="14">
        <f t="shared" si="0"/>
        <v>2.85</v>
      </c>
      <c r="L74" s="13">
        <v>171</v>
      </c>
      <c r="M74" s="13"/>
      <c r="N74" s="15"/>
      <c r="O74" s="4"/>
      <c r="P74" s="4"/>
      <c r="Q74" s="4"/>
      <c r="R74" s="4" t="s">
        <v>16</v>
      </c>
      <c r="S74" s="4"/>
      <c r="T74" s="4"/>
      <c r="V74" s="4"/>
      <c r="W74" s="4"/>
      <c r="X74" s="4"/>
      <c r="Y74" s="4"/>
      <c r="Z74" s="4"/>
      <c r="AA74" s="4"/>
    </row>
    <row r="75" spans="1:27">
      <c r="A75" s="6">
        <v>46060</v>
      </c>
      <c r="B75" s="23" t="s">
        <v>33</v>
      </c>
      <c r="C75" s="18" t="s">
        <v>62</v>
      </c>
      <c r="D75" s="9"/>
      <c r="E75" s="10" t="s">
        <v>104</v>
      </c>
      <c r="F75" s="16" t="s">
        <v>26</v>
      </c>
      <c r="G75" s="30">
        <v>4.6900000000000004</v>
      </c>
      <c r="H75" s="30">
        <v>4.72</v>
      </c>
      <c r="I75" s="47">
        <v>255</v>
      </c>
      <c r="J75" s="13" t="s">
        <v>139</v>
      </c>
      <c r="K75" s="14">
        <f t="shared" si="0"/>
        <v>3</v>
      </c>
      <c r="L75" s="13">
        <v>180</v>
      </c>
      <c r="M75" s="13"/>
      <c r="N75" s="15"/>
      <c r="O75" s="4"/>
      <c r="P75" s="4"/>
      <c r="Q75" s="4"/>
      <c r="R75" s="4" t="s">
        <v>16</v>
      </c>
      <c r="S75" s="4"/>
      <c r="T75" s="4"/>
      <c r="V75" s="4"/>
      <c r="W75" s="4"/>
      <c r="X75" s="4"/>
      <c r="Y75" s="4"/>
      <c r="Z75" s="4"/>
      <c r="AA75" s="4"/>
    </row>
    <row r="76" spans="1:27">
      <c r="A76" s="6">
        <v>46060</v>
      </c>
      <c r="B76" s="24" t="s">
        <v>37</v>
      </c>
      <c r="C76" s="19" t="s">
        <v>64</v>
      </c>
      <c r="D76" s="9"/>
      <c r="E76" s="10" t="s">
        <v>32</v>
      </c>
      <c r="F76" s="16" t="s">
        <v>26</v>
      </c>
      <c r="G76" s="30">
        <v>4.3499999999999996</v>
      </c>
      <c r="H76" s="30">
        <v>4.38</v>
      </c>
      <c r="I76" s="47">
        <v>300</v>
      </c>
      <c r="J76" s="13" t="s">
        <v>43</v>
      </c>
      <c r="K76" s="14">
        <f t="shared" si="0"/>
        <v>3.35</v>
      </c>
      <c r="L76" s="13">
        <v>201</v>
      </c>
      <c r="M76" s="13"/>
      <c r="N76" s="15"/>
      <c r="O76" s="4"/>
      <c r="P76" s="4"/>
      <c r="Q76" s="4"/>
      <c r="R76" s="4" t="s">
        <v>16</v>
      </c>
      <c r="S76" s="4"/>
      <c r="T76" s="4"/>
      <c r="V76" s="4"/>
      <c r="W76" s="4"/>
      <c r="X76" s="4"/>
      <c r="Y76" s="4"/>
      <c r="Z76" s="4"/>
      <c r="AA76" s="4"/>
    </row>
    <row r="77" spans="1:27">
      <c r="A77" s="6">
        <v>46060</v>
      </c>
      <c r="B77" s="28" t="s">
        <v>33</v>
      </c>
      <c r="C77" s="7" t="s">
        <v>65</v>
      </c>
      <c r="D77" s="9"/>
      <c r="E77" s="10" t="s">
        <v>133</v>
      </c>
      <c r="F77" s="11" t="s">
        <v>22</v>
      </c>
      <c r="G77" s="30">
        <v>4.29</v>
      </c>
      <c r="H77" s="30">
        <v>4.34</v>
      </c>
      <c r="I77" s="47">
        <v>397</v>
      </c>
      <c r="J77" s="13"/>
      <c r="K77" s="14">
        <f t="shared" si="0"/>
        <v>1.9166666666666667</v>
      </c>
      <c r="L77" s="13">
        <v>115</v>
      </c>
      <c r="M77" s="13"/>
      <c r="N77" s="15"/>
      <c r="O77" s="4"/>
      <c r="P77" s="4"/>
      <c r="Q77" s="4"/>
      <c r="R77" s="4" t="s">
        <v>16</v>
      </c>
      <c r="S77" s="4"/>
      <c r="T77" s="4"/>
      <c r="V77" s="4"/>
      <c r="W77" s="4"/>
      <c r="X77" s="4"/>
      <c r="Y77" s="4"/>
      <c r="Z77" s="4"/>
      <c r="AA77" s="4"/>
    </row>
    <row r="78" spans="1:27">
      <c r="A78" s="6">
        <v>46060</v>
      </c>
      <c r="B78" s="26" t="s">
        <v>47</v>
      </c>
      <c r="C78" s="7" t="s">
        <v>48</v>
      </c>
      <c r="D78" s="9"/>
      <c r="E78" s="10" t="s">
        <v>121</v>
      </c>
      <c r="F78" s="11" t="s">
        <v>22</v>
      </c>
      <c r="G78" s="30">
        <v>4.49</v>
      </c>
      <c r="H78" s="30">
        <v>4.54</v>
      </c>
      <c r="I78" s="47">
        <v>1181</v>
      </c>
      <c r="J78" s="13"/>
      <c r="K78" s="14">
        <f t="shared" si="0"/>
        <v>2.25</v>
      </c>
      <c r="L78" s="13">
        <v>135</v>
      </c>
      <c r="M78" s="13"/>
      <c r="N78" s="15"/>
      <c r="O78" s="4"/>
      <c r="P78" s="4"/>
      <c r="Q78" s="4"/>
      <c r="R78" s="4" t="s">
        <v>16</v>
      </c>
      <c r="S78" s="4"/>
      <c r="T78" s="4"/>
      <c r="V78" s="4"/>
      <c r="W78" s="4"/>
      <c r="X78" s="4"/>
      <c r="Y78" s="4"/>
      <c r="Z78" s="4"/>
      <c r="AA78" s="4"/>
    </row>
    <row r="79" spans="1:27">
      <c r="A79" s="6">
        <v>46054</v>
      </c>
      <c r="B79" s="55" t="s">
        <v>19</v>
      </c>
      <c r="C79" s="56" t="s">
        <v>20</v>
      </c>
      <c r="D79" s="9"/>
      <c r="E79" s="10" t="s">
        <v>140</v>
      </c>
      <c r="F79" s="11" t="s">
        <v>22</v>
      </c>
      <c r="G79" s="30">
        <v>4.37</v>
      </c>
      <c r="H79" s="30">
        <v>4.42</v>
      </c>
      <c r="I79" s="47">
        <v>182</v>
      </c>
      <c r="J79" s="13"/>
      <c r="K79" s="14">
        <f t="shared" si="0"/>
        <v>1.8166666666666667</v>
      </c>
      <c r="L79" s="13">
        <v>109</v>
      </c>
      <c r="M79" s="13"/>
      <c r="N79" s="15"/>
      <c r="O79" s="4"/>
      <c r="P79" s="4"/>
      <c r="Q79" s="4"/>
      <c r="R79" s="4" t="s">
        <v>16</v>
      </c>
      <c r="S79" s="4"/>
      <c r="T79" s="4"/>
      <c r="V79" s="4"/>
      <c r="W79" s="4"/>
      <c r="X79" s="4"/>
      <c r="Y79" s="4"/>
      <c r="Z79" s="4"/>
      <c r="AA79" s="4"/>
    </row>
    <row r="80" spans="1:27">
      <c r="A80" s="6">
        <v>46054</v>
      </c>
      <c r="B80" s="24" t="s">
        <v>141</v>
      </c>
      <c r="C80" s="57" t="s">
        <v>142</v>
      </c>
      <c r="D80" s="9"/>
      <c r="E80" s="10" t="s">
        <v>101</v>
      </c>
      <c r="F80" s="11" t="s">
        <v>22</v>
      </c>
      <c r="G80" s="30">
        <v>4.2699999999999996</v>
      </c>
      <c r="H80" s="30">
        <v>4.33</v>
      </c>
      <c r="I80" s="47">
        <v>269</v>
      </c>
      <c r="J80" s="13"/>
      <c r="K80" s="14">
        <f t="shared" si="0"/>
        <v>2</v>
      </c>
      <c r="L80" s="13">
        <v>120</v>
      </c>
      <c r="M80" s="13"/>
      <c r="N80" s="15"/>
      <c r="O80" s="4"/>
      <c r="P80" s="4"/>
      <c r="Q80" s="4"/>
      <c r="R80" s="4" t="s">
        <v>16</v>
      </c>
      <c r="S80" s="4"/>
      <c r="T80" s="4"/>
      <c r="V80" s="4"/>
      <c r="W80" s="4"/>
      <c r="X80" s="4"/>
      <c r="Y80" s="4"/>
      <c r="Z80" s="4"/>
      <c r="AA80" s="4"/>
    </row>
    <row r="81" spans="1:27">
      <c r="A81" s="6">
        <v>46054</v>
      </c>
      <c r="B81" s="23" t="s">
        <v>33</v>
      </c>
      <c r="C81" s="18" t="s">
        <v>143</v>
      </c>
      <c r="D81" s="9"/>
      <c r="E81" s="10" t="s">
        <v>144</v>
      </c>
      <c r="F81" s="11" t="s">
        <v>22</v>
      </c>
      <c r="G81" s="30">
        <v>4.6900000000000004</v>
      </c>
      <c r="H81" s="30">
        <v>4.71</v>
      </c>
      <c r="I81" s="47">
        <v>317</v>
      </c>
      <c r="J81" s="13"/>
      <c r="K81" s="14">
        <f t="shared" si="0"/>
        <v>2.0499999999999998</v>
      </c>
      <c r="L81" s="13">
        <v>123</v>
      </c>
      <c r="M81" s="13"/>
      <c r="N81" s="15"/>
      <c r="O81" s="4"/>
      <c r="P81" s="4"/>
      <c r="Q81" s="4"/>
      <c r="R81" s="4" t="s">
        <v>16</v>
      </c>
      <c r="S81" s="4"/>
      <c r="T81" s="4"/>
      <c r="V81" s="4"/>
      <c r="W81" s="4"/>
      <c r="X81" s="4"/>
      <c r="Y81" s="4"/>
      <c r="Z81" s="4"/>
      <c r="AA81" s="4"/>
    </row>
    <row r="82" spans="1:27">
      <c r="A82" s="6">
        <v>46054</v>
      </c>
      <c r="B82" s="22" t="s">
        <v>108</v>
      </c>
      <c r="C82" s="57" t="s">
        <v>59</v>
      </c>
      <c r="D82" s="9"/>
      <c r="E82" s="10" t="s">
        <v>117</v>
      </c>
      <c r="F82" s="16" t="s">
        <v>26</v>
      </c>
      <c r="G82" s="15">
        <v>4.55</v>
      </c>
      <c r="H82" s="15">
        <v>4.55</v>
      </c>
      <c r="I82" s="47">
        <v>206</v>
      </c>
      <c r="J82" s="13"/>
      <c r="K82" s="14">
        <f t="shared" si="0"/>
        <v>2.2833333333333332</v>
      </c>
      <c r="L82" s="13">
        <v>137</v>
      </c>
      <c r="M82" s="13"/>
      <c r="N82" s="15"/>
      <c r="O82" s="4"/>
      <c r="P82" s="4"/>
      <c r="Q82" s="4"/>
      <c r="R82" s="4" t="s">
        <v>16</v>
      </c>
      <c r="S82" s="4"/>
      <c r="T82" s="4"/>
      <c r="V82" s="4"/>
      <c r="W82" s="4"/>
      <c r="X82" s="4"/>
      <c r="Y82" s="4"/>
      <c r="Z82" s="4"/>
      <c r="AA82" s="4"/>
    </row>
    <row r="83" spans="1:27">
      <c r="A83" s="6">
        <v>46054</v>
      </c>
      <c r="B83" s="23" t="s">
        <v>23</v>
      </c>
      <c r="C83" s="18" t="s">
        <v>145</v>
      </c>
      <c r="D83" s="9"/>
      <c r="E83" s="10" t="s">
        <v>146</v>
      </c>
      <c r="F83" s="16" t="s">
        <v>26</v>
      </c>
      <c r="G83" s="30">
        <v>4.5999999999999996</v>
      </c>
      <c r="H83" s="30">
        <v>4.63</v>
      </c>
      <c r="I83" s="47">
        <v>205</v>
      </c>
      <c r="J83" s="13"/>
      <c r="K83" s="14">
        <f t="shared" si="0"/>
        <v>3.9833333333333334</v>
      </c>
      <c r="L83" s="13">
        <v>239</v>
      </c>
      <c r="M83" s="13"/>
      <c r="N83" s="15"/>
      <c r="O83" s="4"/>
      <c r="P83" s="4"/>
      <c r="Q83" s="4"/>
      <c r="R83" s="4" t="s">
        <v>16</v>
      </c>
      <c r="S83" s="4"/>
      <c r="T83" s="4"/>
      <c r="V83" s="4"/>
      <c r="W83" s="4"/>
      <c r="X83" s="4"/>
      <c r="Y83" s="4"/>
      <c r="Z83" s="4"/>
      <c r="AA83" s="4"/>
    </row>
    <row r="84" spans="1:27">
      <c r="A84" s="6">
        <v>46054</v>
      </c>
      <c r="B84" s="49" t="s">
        <v>77</v>
      </c>
      <c r="C84" s="57" t="s">
        <v>78</v>
      </c>
      <c r="D84" s="9"/>
      <c r="E84" s="10" t="s">
        <v>118</v>
      </c>
      <c r="F84" s="11" t="s">
        <v>22</v>
      </c>
      <c r="G84" s="30">
        <v>4.6900000000000004</v>
      </c>
      <c r="H84" s="30">
        <v>4.7</v>
      </c>
      <c r="I84" s="47">
        <v>269</v>
      </c>
      <c r="J84" s="13"/>
      <c r="K84" s="14">
        <f t="shared" si="0"/>
        <v>1.6166666666666667</v>
      </c>
      <c r="L84" s="13">
        <v>97</v>
      </c>
      <c r="M84" s="13"/>
      <c r="N84" s="15"/>
      <c r="O84" s="4"/>
      <c r="P84" s="4"/>
      <c r="Q84" s="4"/>
      <c r="R84" s="4" t="s">
        <v>16</v>
      </c>
      <c r="S84" s="4"/>
      <c r="T84" s="4"/>
      <c r="V84" s="4"/>
      <c r="W84" s="4"/>
      <c r="X84" s="4"/>
      <c r="Y84" s="4"/>
      <c r="Z84" s="4"/>
      <c r="AA84" s="4"/>
    </row>
    <row r="85" spans="1:27">
      <c r="A85" s="6">
        <v>46054</v>
      </c>
      <c r="B85" s="23" t="s">
        <v>135</v>
      </c>
      <c r="C85" s="18" t="s">
        <v>41</v>
      </c>
      <c r="D85" s="9"/>
      <c r="E85" s="10" t="s">
        <v>32</v>
      </c>
      <c r="F85" s="11" t="s">
        <v>22</v>
      </c>
      <c r="G85" s="30">
        <v>4.3499999999999996</v>
      </c>
      <c r="H85" s="30">
        <v>4.38</v>
      </c>
      <c r="I85" s="47">
        <v>258</v>
      </c>
      <c r="J85" s="13"/>
      <c r="K85" s="14">
        <f t="shared" si="0"/>
        <v>3.5166666666666666</v>
      </c>
      <c r="L85" s="13">
        <v>211</v>
      </c>
      <c r="M85" s="13"/>
      <c r="N85" s="15"/>
      <c r="O85" s="4"/>
      <c r="P85" s="4"/>
      <c r="Q85" s="4"/>
      <c r="R85" s="4" t="s">
        <v>16</v>
      </c>
      <c r="S85" s="4"/>
      <c r="T85" s="4"/>
      <c r="V85" s="4"/>
      <c r="W85" s="4"/>
      <c r="X85" s="4"/>
      <c r="Y85" s="4"/>
      <c r="Z85" s="4"/>
      <c r="AA85" s="4"/>
    </row>
    <row r="86" spans="1:27">
      <c r="A86" s="6">
        <v>46054</v>
      </c>
      <c r="B86" s="58" t="s">
        <v>81</v>
      </c>
      <c r="C86" s="8" t="s">
        <v>82</v>
      </c>
      <c r="D86" s="9"/>
      <c r="E86" s="10" t="s">
        <v>133</v>
      </c>
      <c r="F86" s="11" t="s">
        <v>22</v>
      </c>
      <c r="G86" s="30">
        <v>4.53</v>
      </c>
      <c r="H86" s="30">
        <v>4.5999999999999996</v>
      </c>
      <c r="I86" s="47">
        <v>463</v>
      </c>
      <c r="J86" s="13"/>
      <c r="K86" s="14">
        <f t="shared" si="0"/>
        <v>3.0666666666666669</v>
      </c>
      <c r="L86" s="13">
        <v>184</v>
      </c>
      <c r="M86" s="13"/>
      <c r="N86" s="15"/>
      <c r="O86" s="4"/>
      <c r="P86" s="4"/>
      <c r="Q86" s="4"/>
      <c r="R86" s="4" t="s">
        <v>16</v>
      </c>
      <c r="S86" s="4"/>
      <c r="T86" s="4"/>
      <c r="V86" s="4"/>
      <c r="W86" s="4"/>
      <c r="X86" s="4"/>
      <c r="Y86" s="4"/>
      <c r="Z86" s="4"/>
      <c r="AA86" s="4"/>
    </row>
    <row r="87" spans="1:27">
      <c r="A87" s="6">
        <v>46054</v>
      </c>
      <c r="B87" s="22" t="s">
        <v>33</v>
      </c>
      <c r="C87" s="20" t="s">
        <v>44</v>
      </c>
      <c r="D87" s="9"/>
      <c r="E87" s="10" t="s">
        <v>120</v>
      </c>
      <c r="F87" s="16" t="s">
        <v>26</v>
      </c>
      <c r="G87" s="30">
        <v>4.6900000000000004</v>
      </c>
      <c r="H87" s="47">
        <v>4.71</v>
      </c>
      <c r="I87" s="15">
        <v>920</v>
      </c>
      <c r="J87" s="13"/>
      <c r="K87" s="14">
        <f t="shared" si="0"/>
        <v>3.4166666666666665</v>
      </c>
      <c r="L87" s="13">
        <v>205</v>
      </c>
      <c r="M87" s="13">
        <v>1851</v>
      </c>
      <c r="N87" s="15">
        <v>1391</v>
      </c>
      <c r="O87" s="4"/>
      <c r="P87" s="59">
        <f t="shared" ref="P87:P88" si="1">N87/M87</f>
        <v>0.75148568341437061</v>
      </c>
      <c r="Q87" s="4"/>
      <c r="R87" s="4" t="s">
        <v>16</v>
      </c>
      <c r="S87" s="4"/>
      <c r="T87" s="4"/>
      <c r="V87" s="4"/>
      <c r="W87" s="4"/>
      <c r="X87" s="4"/>
      <c r="Y87" s="4"/>
      <c r="Z87" s="4"/>
      <c r="AA87" s="4"/>
    </row>
    <row r="88" spans="1:27">
      <c r="A88" s="6">
        <v>46054</v>
      </c>
      <c r="B88" s="58" t="s">
        <v>81</v>
      </c>
      <c r="C88" s="18" t="s">
        <v>110</v>
      </c>
      <c r="D88" s="9"/>
      <c r="E88" s="10" t="s">
        <v>121</v>
      </c>
      <c r="F88" s="11" t="s">
        <v>22</v>
      </c>
      <c r="G88" s="30">
        <v>4.62</v>
      </c>
      <c r="H88" s="30">
        <v>4.68</v>
      </c>
      <c r="I88" s="47">
        <v>1215</v>
      </c>
      <c r="J88" s="13"/>
      <c r="K88" s="14">
        <f t="shared" si="0"/>
        <v>3</v>
      </c>
      <c r="L88" s="13">
        <v>180</v>
      </c>
      <c r="M88" s="13">
        <v>2185</v>
      </c>
      <c r="N88" s="15">
        <v>2185</v>
      </c>
      <c r="O88" s="4"/>
      <c r="P88" s="59">
        <f t="shared" si="1"/>
        <v>1</v>
      </c>
      <c r="Q88" s="4"/>
      <c r="R88" s="4" t="s">
        <v>16</v>
      </c>
      <c r="S88" s="4"/>
      <c r="T88" s="4"/>
      <c r="V88" s="4"/>
      <c r="W88" s="4"/>
      <c r="X88" s="4"/>
      <c r="Y88" s="4"/>
      <c r="Z88" s="4"/>
      <c r="AA88" s="4"/>
    </row>
    <row r="89" spans="1:27">
      <c r="A89" s="6">
        <v>46053</v>
      </c>
      <c r="B89" s="58" t="s">
        <v>19</v>
      </c>
      <c r="C89" s="8" t="s">
        <v>53</v>
      </c>
      <c r="D89" s="9"/>
      <c r="E89" s="10" t="s">
        <v>140</v>
      </c>
      <c r="F89" s="11" t="s">
        <v>22</v>
      </c>
      <c r="G89" s="30">
        <v>4.45</v>
      </c>
      <c r="H89" s="30">
        <v>4.4800000000000004</v>
      </c>
      <c r="I89" s="47">
        <v>247</v>
      </c>
      <c r="J89" s="13"/>
      <c r="K89" s="14">
        <f t="shared" si="0"/>
        <v>2</v>
      </c>
      <c r="L89" s="13">
        <v>120</v>
      </c>
      <c r="M89" s="13"/>
      <c r="N89" s="15"/>
      <c r="O89" s="4"/>
      <c r="P89" s="4"/>
      <c r="Q89" s="4"/>
      <c r="R89" s="4" t="s">
        <v>16</v>
      </c>
      <c r="S89" s="4"/>
      <c r="T89" s="4"/>
      <c r="V89" s="4"/>
      <c r="W89" s="4"/>
      <c r="X89" s="4"/>
      <c r="Y89" s="4"/>
      <c r="Z89" s="4"/>
      <c r="AA89" s="4"/>
    </row>
    <row r="90" spans="1:27">
      <c r="A90" s="6">
        <v>46053</v>
      </c>
      <c r="B90" s="26" t="s">
        <v>33</v>
      </c>
      <c r="C90" s="9" t="s">
        <v>147</v>
      </c>
      <c r="D90" s="9"/>
      <c r="E90" s="10" t="s">
        <v>148</v>
      </c>
      <c r="F90" s="11" t="s">
        <v>22</v>
      </c>
      <c r="G90" s="30">
        <v>4.67</v>
      </c>
      <c r="H90" s="30">
        <v>4.6900000000000004</v>
      </c>
      <c r="I90" s="47">
        <v>420</v>
      </c>
      <c r="J90" s="13"/>
      <c r="K90" s="14">
        <f t="shared" si="0"/>
        <v>1.85</v>
      </c>
      <c r="L90" s="13">
        <v>111</v>
      </c>
      <c r="M90" s="13"/>
      <c r="N90" s="15"/>
      <c r="O90" s="4"/>
      <c r="P90" s="4"/>
      <c r="Q90" s="4"/>
      <c r="R90" s="4" t="s">
        <v>16</v>
      </c>
      <c r="S90" s="4"/>
      <c r="T90" s="4"/>
      <c r="V90" s="4"/>
      <c r="W90" s="4"/>
      <c r="X90" s="4"/>
      <c r="Y90" s="4"/>
      <c r="Z90" s="4"/>
      <c r="AA90" s="4"/>
    </row>
    <row r="91" spans="1:27">
      <c r="A91" s="6">
        <v>46053</v>
      </c>
      <c r="B91" s="26" t="s">
        <v>47</v>
      </c>
      <c r="C91" s="9" t="s">
        <v>67</v>
      </c>
      <c r="D91" s="9"/>
      <c r="E91" s="10" t="s">
        <v>149</v>
      </c>
      <c r="F91" s="16" t="s">
        <v>26</v>
      </c>
      <c r="G91" s="30">
        <v>4.5199999999999996</v>
      </c>
      <c r="H91" s="30">
        <v>4.57</v>
      </c>
      <c r="I91" s="47">
        <v>1638</v>
      </c>
      <c r="J91" s="13"/>
      <c r="K91" s="14">
        <f t="shared" si="0"/>
        <v>2.2000000000000002</v>
      </c>
      <c r="L91" s="13">
        <v>132</v>
      </c>
      <c r="M91" s="13">
        <v>3127</v>
      </c>
      <c r="N91" s="15">
        <v>2461</v>
      </c>
      <c r="O91" s="4"/>
      <c r="P91" s="59">
        <f>N91/M91</f>
        <v>0.7870163095618804</v>
      </c>
      <c r="Q91" s="4"/>
      <c r="R91" s="4" t="s">
        <v>16</v>
      </c>
      <c r="S91" s="4"/>
      <c r="T91" s="4"/>
      <c r="V91" s="4"/>
      <c r="W91" s="4"/>
      <c r="X91" s="4"/>
      <c r="Y91" s="4"/>
      <c r="Z91" s="4"/>
      <c r="AA91" s="4"/>
    </row>
    <row r="92" spans="1:27">
      <c r="A92" s="6">
        <v>46053</v>
      </c>
      <c r="B92" s="26" t="s">
        <v>47</v>
      </c>
      <c r="C92" s="9" t="s">
        <v>74</v>
      </c>
      <c r="D92" s="9"/>
      <c r="E92" s="10" t="s">
        <v>117</v>
      </c>
      <c r="F92" s="11" t="s">
        <v>22</v>
      </c>
      <c r="G92" s="30">
        <v>4.5199999999999996</v>
      </c>
      <c r="H92" s="30">
        <v>4.57</v>
      </c>
      <c r="I92" s="47">
        <v>196</v>
      </c>
      <c r="J92" s="13"/>
      <c r="K92" s="14">
        <f t="shared" si="0"/>
        <v>2.2833333333333332</v>
      </c>
      <c r="L92" s="13">
        <v>137</v>
      </c>
      <c r="M92" s="13"/>
      <c r="N92" s="15"/>
      <c r="O92" s="4"/>
      <c r="P92" s="4"/>
      <c r="Q92" s="4"/>
      <c r="R92" s="4" t="s">
        <v>16</v>
      </c>
      <c r="S92" s="4"/>
      <c r="T92" s="4"/>
      <c r="V92" s="4"/>
      <c r="W92" s="4"/>
      <c r="X92" s="4"/>
      <c r="Y92" s="4"/>
      <c r="Z92" s="4"/>
      <c r="AA92" s="4"/>
    </row>
    <row r="93" spans="1:27">
      <c r="A93" s="6">
        <v>46053</v>
      </c>
      <c r="B93" s="60" t="s">
        <v>77</v>
      </c>
      <c r="C93" s="9" t="s">
        <v>92</v>
      </c>
      <c r="D93" s="9"/>
      <c r="E93" s="10" t="s">
        <v>118</v>
      </c>
      <c r="F93" s="11" t="s">
        <v>22</v>
      </c>
      <c r="G93" s="30">
        <v>4.6399999999999997</v>
      </c>
      <c r="H93" s="30">
        <v>4.6399999999999997</v>
      </c>
      <c r="I93" s="47">
        <v>271</v>
      </c>
      <c r="J93" s="13"/>
      <c r="K93" s="14">
        <f t="shared" si="0"/>
        <v>1.5833333333333333</v>
      </c>
      <c r="L93" s="13">
        <v>95</v>
      </c>
      <c r="M93" s="13"/>
      <c r="N93" s="15"/>
      <c r="O93" s="4"/>
      <c r="P93" s="4"/>
      <c r="Q93" s="4"/>
      <c r="R93" s="4" t="s">
        <v>16</v>
      </c>
      <c r="S93" s="4"/>
      <c r="T93" s="4"/>
      <c r="V93" s="4"/>
      <c r="W93" s="4"/>
      <c r="X93" s="4"/>
      <c r="Y93" s="4"/>
      <c r="Z93" s="4"/>
      <c r="AA93" s="4"/>
    </row>
    <row r="94" spans="1:27">
      <c r="A94" s="6">
        <v>46053</v>
      </c>
      <c r="B94" s="26" t="s">
        <v>33</v>
      </c>
      <c r="C94" s="9" t="s">
        <v>150</v>
      </c>
      <c r="D94" s="9"/>
      <c r="E94" s="10" t="s">
        <v>32</v>
      </c>
      <c r="F94" s="16" t="s">
        <v>26</v>
      </c>
      <c r="G94" s="30">
        <v>4.76</v>
      </c>
      <c r="H94" s="30">
        <v>4.8</v>
      </c>
      <c r="I94" s="47">
        <v>406</v>
      </c>
      <c r="J94" s="13"/>
      <c r="K94" s="14">
        <f t="shared" si="0"/>
        <v>3.1666666666666665</v>
      </c>
      <c r="L94" s="13">
        <v>190</v>
      </c>
      <c r="M94" s="13"/>
      <c r="N94" s="15"/>
      <c r="O94" s="4"/>
      <c r="P94" s="4"/>
      <c r="Q94" s="4"/>
      <c r="R94" s="4" t="s">
        <v>16</v>
      </c>
      <c r="S94" s="4"/>
      <c r="T94" s="4"/>
      <c r="V94" s="4"/>
      <c r="W94" s="4"/>
      <c r="X94" s="4"/>
      <c r="Y94" s="4"/>
      <c r="Z94" s="4"/>
      <c r="AA94" s="4"/>
    </row>
    <row r="95" spans="1:27">
      <c r="A95" s="6">
        <v>46053</v>
      </c>
      <c r="B95" s="58" t="s">
        <v>81</v>
      </c>
      <c r="C95" s="9" t="s">
        <v>94</v>
      </c>
      <c r="D95" s="9"/>
      <c r="E95" s="10" t="s">
        <v>133</v>
      </c>
      <c r="F95" s="11" t="s">
        <v>22</v>
      </c>
      <c r="G95" s="30">
        <v>4.57</v>
      </c>
      <c r="H95" s="30">
        <v>4.63</v>
      </c>
      <c r="I95" s="47">
        <v>426</v>
      </c>
      <c r="J95" s="13"/>
      <c r="K95" s="14">
        <f t="shared" si="0"/>
        <v>2.85</v>
      </c>
      <c r="L95" s="13">
        <v>171</v>
      </c>
      <c r="M95" s="13"/>
      <c r="N95" s="15"/>
      <c r="O95" s="4"/>
      <c r="P95" s="4"/>
      <c r="Q95" s="4"/>
      <c r="R95" s="4" t="s">
        <v>16</v>
      </c>
      <c r="S95" s="4"/>
      <c r="T95" s="4"/>
      <c r="V95" s="4"/>
      <c r="W95" s="4"/>
      <c r="X95" s="4"/>
      <c r="Y95" s="4"/>
      <c r="Z95" s="4"/>
      <c r="AA95" s="4"/>
    </row>
    <row r="96" spans="1:27">
      <c r="A96" s="6">
        <v>46053</v>
      </c>
      <c r="B96" s="58" t="s">
        <v>81</v>
      </c>
      <c r="C96" s="26" t="s">
        <v>123</v>
      </c>
      <c r="D96" s="9"/>
      <c r="E96" s="10" t="s">
        <v>121</v>
      </c>
      <c r="F96" s="11" t="s">
        <v>22</v>
      </c>
      <c r="G96" s="30">
        <v>4.59</v>
      </c>
      <c r="H96" s="30">
        <v>4.67</v>
      </c>
      <c r="I96" s="47">
        <v>1329</v>
      </c>
      <c r="J96" s="13"/>
      <c r="K96" s="14">
        <f t="shared" si="0"/>
        <v>2.4333333333333331</v>
      </c>
      <c r="L96" s="13">
        <v>146</v>
      </c>
      <c r="M96" s="13">
        <v>2591</v>
      </c>
      <c r="N96" s="15">
        <v>2398</v>
      </c>
      <c r="O96" s="4"/>
      <c r="P96" s="59">
        <f>N96/M96</f>
        <v>0.92551138556541879</v>
      </c>
      <c r="Q96" s="4"/>
      <c r="R96" s="4" t="s">
        <v>16</v>
      </c>
      <c r="S96" s="4"/>
      <c r="T96" s="4"/>
      <c r="V96" s="4"/>
      <c r="W96" s="4"/>
      <c r="X96" s="4"/>
      <c r="Y96" s="4"/>
      <c r="Z96" s="4"/>
      <c r="AA96" s="4"/>
    </row>
    <row r="97" spans="1:27">
      <c r="A97" s="6">
        <v>46047</v>
      </c>
      <c r="B97" s="23" t="s">
        <v>19</v>
      </c>
      <c r="C97" s="55" t="s">
        <v>72</v>
      </c>
      <c r="D97" s="9"/>
      <c r="E97" s="10" t="s">
        <v>140</v>
      </c>
      <c r="F97" s="11" t="s">
        <v>22</v>
      </c>
      <c r="G97" s="30">
        <v>4.49</v>
      </c>
      <c r="H97" s="30">
        <v>4.54</v>
      </c>
      <c r="I97" s="47">
        <v>188</v>
      </c>
      <c r="J97" s="13"/>
      <c r="K97" s="14">
        <f t="shared" si="0"/>
        <v>2.4166666666666665</v>
      </c>
      <c r="L97" s="13">
        <v>145</v>
      </c>
      <c r="M97" s="13"/>
      <c r="N97" s="15"/>
      <c r="O97" s="4"/>
      <c r="P97" s="4"/>
      <c r="Q97" s="4"/>
      <c r="R97" s="4" t="s">
        <v>16</v>
      </c>
      <c r="S97" s="4"/>
      <c r="T97" s="4"/>
      <c r="V97" s="4"/>
      <c r="W97" s="4"/>
      <c r="X97" s="4"/>
      <c r="Y97" s="4"/>
      <c r="Z97" s="4"/>
      <c r="AA97" s="4"/>
    </row>
    <row r="98" spans="1:27">
      <c r="A98" s="6">
        <v>46047</v>
      </c>
      <c r="B98" s="24" t="s">
        <v>151</v>
      </c>
      <c r="C98" s="61" t="s">
        <v>152</v>
      </c>
      <c r="D98" s="9"/>
      <c r="E98" s="10" t="s">
        <v>21</v>
      </c>
      <c r="F98" s="11" t="s">
        <v>22</v>
      </c>
      <c r="G98" s="30">
        <v>4.46</v>
      </c>
      <c r="H98" s="30">
        <v>4.4800000000000004</v>
      </c>
      <c r="I98" s="47">
        <v>97</v>
      </c>
      <c r="J98" s="13"/>
      <c r="K98" s="14">
        <f t="shared" si="0"/>
        <v>1.8833333333333333</v>
      </c>
      <c r="L98" s="13">
        <v>113</v>
      </c>
      <c r="M98" s="13"/>
      <c r="N98" s="15"/>
      <c r="O98" s="4"/>
      <c r="P98" s="4"/>
      <c r="Q98" s="4"/>
      <c r="R98" s="4" t="s">
        <v>16</v>
      </c>
      <c r="S98" s="4"/>
      <c r="T98" s="4"/>
      <c r="V98" s="4"/>
      <c r="W98" s="4"/>
      <c r="X98" s="4"/>
      <c r="Y98" s="4"/>
      <c r="Z98" s="4"/>
      <c r="AA98" s="4"/>
    </row>
    <row r="99" spans="1:27">
      <c r="A99" s="6">
        <v>46047</v>
      </c>
      <c r="B99" s="23" t="s">
        <v>47</v>
      </c>
      <c r="C99" s="55" t="s">
        <v>74</v>
      </c>
      <c r="D99" s="9"/>
      <c r="E99" s="10" t="s">
        <v>127</v>
      </c>
      <c r="F99" s="11" t="s">
        <v>22</v>
      </c>
      <c r="G99" s="30">
        <v>4.62</v>
      </c>
      <c r="H99" s="30">
        <v>4.67</v>
      </c>
      <c r="I99" s="47">
        <v>257</v>
      </c>
      <c r="J99" s="13"/>
      <c r="K99" s="14">
        <f t="shared" si="0"/>
        <v>2.2999999999999998</v>
      </c>
      <c r="L99" s="13">
        <v>138</v>
      </c>
      <c r="M99" s="13"/>
      <c r="N99" s="15"/>
      <c r="O99" s="4"/>
      <c r="P99" s="4"/>
      <c r="Q99" s="4"/>
      <c r="R99" s="4" t="s">
        <v>16</v>
      </c>
      <c r="S99" s="4"/>
      <c r="T99" s="4"/>
      <c r="V99" s="4"/>
      <c r="W99" s="4"/>
      <c r="X99" s="4"/>
      <c r="Y99" s="4"/>
      <c r="Z99" s="4"/>
      <c r="AA99" s="4"/>
    </row>
    <row r="100" spans="1:27">
      <c r="A100" s="6">
        <v>46047</v>
      </c>
      <c r="B100" s="24" t="s">
        <v>23</v>
      </c>
      <c r="C100" s="61" t="s">
        <v>153</v>
      </c>
      <c r="D100" s="9"/>
      <c r="E100" s="10" t="s">
        <v>154</v>
      </c>
      <c r="F100" s="16" t="s">
        <v>26</v>
      </c>
      <c r="G100" s="30">
        <v>4.28</v>
      </c>
      <c r="H100" s="30">
        <v>4.29</v>
      </c>
      <c r="I100" s="47">
        <v>192</v>
      </c>
      <c r="J100" s="13"/>
      <c r="K100" s="14">
        <f t="shared" si="0"/>
        <v>2.6333333333333333</v>
      </c>
      <c r="L100" s="13">
        <v>158</v>
      </c>
      <c r="M100" s="13"/>
      <c r="N100" s="15"/>
      <c r="O100" s="4"/>
      <c r="P100" s="4"/>
      <c r="Q100" s="4"/>
      <c r="R100" s="4" t="s">
        <v>16</v>
      </c>
      <c r="S100" s="4"/>
      <c r="T100" s="4"/>
      <c r="V100" s="4"/>
      <c r="W100" s="4"/>
      <c r="X100" s="4"/>
      <c r="Y100" s="4"/>
      <c r="Z100" s="4"/>
      <c r="AA100" s="4"/>
    </row>
    <row r="101" spans="1:27">
      <c r="A101" s="6">
        <v>46047</v>
      </c>
      <c r="B101" s="62" t="s">
        <v>77</v>
      </c>
      <c r="C101" s="55" t="s">
        <v>78</v>
      </c>
      <c r="D101" s="9"/>
      <c r="E101" s="10" t="s">
        <v>57</v>
      </c>
      <c r="F101" s="11" t="s">
        <v>22</v>
      </c>
      <c r="G101" s="30">
        <v>4.7</v>
      </c>
      <c r="H101" s="30">
        <v>4.75</v>
      </c>
      <c r="I101" s="47">
        <v>263</v>
      </c>
      <c r="J101" s="13"/>
      <c r="K101" s="14">
        <f t="shared" si="0"/>
        <v>1.5333333333333334</v>
      </c>
      <c r="L101" s="13">
        <v>92</v>
      </c>
      <c r="M101" s="13"/>
      <c r="N101" s="15"/>
      <c r="O101" s="4"/>
      <c r="P101" s="4"/>
      <c r="Q101" s="4"/>
      <c r="R101" s="4" t="s">
        <v>16</v>
      </c>
      <c r="S101" s="4"/>
      <c r="T101" s="4"/>
      <c r="V101" s="4"/>
      <c r="W101" s="4"/>
      <c r="X101" s="4"/>
      <c r="Y101" s="4"/>
      <c r="Z101" s="4"/>
      <c r="AA101" s="4"/>
    </row>
    <row r="102" spans="1:27">
      <c r="A102" s="6">
        <v>46047</v>
      </c>
      <c r="B102" s="24" t="s">
        <v>33</v>
      </c>
      <c r="C102" s="61" t="s">
        <v>38</v>
      </c>
      <c r="D102" s="9"/>
      <c r="E102" s="10" t="s">
        <v>118</v>
      </c>
      <c r="F102" s="16" t="s">
        <v>26</v>
      </c>
      <c r="G102" s="30">
        <v>4.83</v>
      </c>
      <c r="H102" s="30">
        <v>4.8899999999999997</v>
      </c>
      <c r="I102" s="47">
        <v>252</v>
      </c>
      <c r="J102" s="13"/>
      <c r="K102" s="14">
        <f t="shared" si="0"/>
        <v>4.3</v>
      </c>
      <c r="L102" s="13">
        <v>258</v>
      </c>
      <c r="M102" s="13"/>
      <c r="N102" s="15"/>
      <c r="O102" s="4"/>
      <c r="P102" s="4"/>
      <c r="Q102" s="4"/>
      <c r="R102" s="4" t="s">
        <v>16</v>
      </c>
      <c r="S102" s="4"/>
      <c r="T102" s="4"/>
      <c r="V102" s="4"/>
      <c r="W102" s="4"/>
      <c r="X102" s="4"/>
      <c r="Y102" s="4"/>
      <c r="Z102" s="4"/>
      <c r="AA102" s="4"/>
    </row>
    <row r="103" spans="1:27">
      <c r="A103" s="6">
        <v>46047</v>
      </c>
      <c r="B103" s="55" t="s">
        <v>81</v>
      </c>
      <c r="C103" s="55" t="s">
        <v>82</v>
      </c>
      <c r="D103" s="9"/>
      <c r="E103" s="10" t="s">
        <v>32</v>
      </c>
      <c r="F103" s="11" t="s">
        <v>22</v>
      </c>
      <c r="G103" s="30">
        <v>4.67</v>
      </c>
      <c r="H103" s="30">
        <v>4.71</v>
      </c>
      <c r="I103" s="47">
        <v>301</v>
      </c>
      <c r="J103" s="13"/>
      <c r="K103" s="14">
        <f t="shared" si="0"/>
        <v>3.1</v>
      </c>
      <c r="L103" s="13">
        <v>186</v>
      </c>
      <c r="M103" s="13"/>
      <c r="N103" s="15"/>
      <c r="O103" s="4"/>
      <c r="P103" s="4"/>
      <c r="Q103" s="4"/>
      <c r="R103" s="4" t="s">
        <v>16</v>
      </c>
      <c r="S103" s="4"/>
      <c r="T103" s="4"/>
      <c r="V103" s="4"/>
      <c r="W103" s="4"/>
      <c r="X103" s="4"/>
      <c r="Y103" s="4"/>
      <c r="Z103" s="4"/>
      <c r="AA103" s="4"/>
    </row>
    <row r="104" spans="1:27">
      <c r="A104" s="6">
        <v>46047</v>
      </c>
      <c r="B104" s="23" t="s">
        <v>47</v>
      </c>
      <c r="C104" s="58" t="s">
        <v>67</v>
      </c>
      <c r="D104" s="9"/>
      <c r="E104" s="10" t="s">
        <v>133</v>
      </c>
      <c r="F104" s="11" t="s">
        <v>22</v>
      </c>
      <c r="G104" s="30">
        <v>4.33</v>
      </c>
      <c r="H104" s="30">
        <v>4.37</v>
      </c>
      <c r="I104" s="47">
        <v>441</v>
      </c>
      <c r="J104" s="13"/>
      <c r="K104" s="14">
        <f t="shared" si="0"/>
        <v>2.35</v>
      </c>
      <c r="L104" s="13">
        <v>141</v>
      </c>
      <c r="M104" s="13"/>
      <c r="N104" s="15"/>
      <c r="O104" s="4"/>
      <c r="P104" s="4"/>
      <c r="Q104" s="4"/>
      <c r="R104" s="4" t="s">
        <v>16</v>
      </c>
      <c r="S104" s="4"/>
      <c r="T104" s="4"/>
      <c r="V104" s="4"/>
      <c r="W104" s="4"/>
      <c r="X104" s="4"/>
      <c r="Y104" s="4"/>
      <c r="Z104" s="4"/>
      <c r="AA104" s="4"/>
    </row>
    <row r="105" spans="1:27">
      <c r="A105" s="6">
        <v>46047</v>
      </c>
      <c r="B105" s="24" t="s">
        <v>27</v>
      </c>
      <c r="C105" s="22" t="s">
        <v>84</v>
      </c>
      <c r="D105" s="9"/>
      <c r="E105" s="10" t="s">
        <v>120</v>
      </c>
      <c r="F105" s="16" t="s">
        <v>26</v>
      </c>
      <c r="G105" s="30">
        <v>4.29</v>
      </c>
      <c r="H105" s="30">
        <v>4.33</v>
      </c>
      <c r="I105" s="47">
        <v>1058</v>
      </c>
      <c r="J105" s="13"/>
      <c r="K105" s="14">
        <f t="shared" si="0"/>
        <v>2.9333333333333331</v>
      </c>
      <c r="L105" s="13">
        <v>176</v>
      </c>
      <c r="M105" s="13">
        <v>1931</v>
      </c>
      <c r="N105" s="15">
        <v>1759</v>
      </c>
      <c r="O105" s="4"/>
      <c r="P105" s="59">
        <f>N105/M105</f>
        <v>0.91092698083894352</v>
      </c>
      <c r="Q105" s="4"/>
      <c r="R105" s="4" t="s">
        <v>16</v>
      </c>
      <c r="S105" s="4"/>
      <c r="T105" s="4"/>
      <c r="V105" s="4"/>
      <c r="W105" s="4"/>
      <c r="X105" s="4"/>
      <c r="Y105" s="4"/>
      <c r="Z105" s="4"/>
      <c r="AA105" s="4"/>
    </row>
    <row r="106" spans="1:27">
      <c r="A106" s="6">
        <v>46046</v>
      </c>
      <c r="B106" s="26" t="s">
        <v>19</v>
      </c>
      <c r="C106" s="58" t="s">
        <v>87</v>
      </c>
      <c r="D106" s="9"/>
      <c r="E106" s="10" t="s">
        <v>140</v>
      </c>
      <c r="F106" s="11" t="s">
        <v>22</v>
      </c>
      <c r="G106" s="30">
        <v>4.59</v>
      </c>
      <c r="H106" s="30">
        <v>4.62</v>
      </c>
      <c r="I106" s="47">
        <v>193</v>
      </c>
      <c r="J106" s="13"/>
      <c r="K106" s="14">
        <f t="shared" si="0"/>
        <v>2.3333333333333335</v>
      </c>
      <c r="L106" s="13">
        <v>140</v>
      </c>
      <c r="M106" s="13"/>
      <c r="N106" s="15"/>
      <c r="O106" s="4"/>
      <c r="P106" s="4"/>
      <c r="Q106" s="4"/>
      <c r="R106" s="4" t="s">
        <v>16</v>
      </c>
      <c r="S106" s="4"/>
      <c r="T106" s="4"/>
      <c r="V106" s="4"/>
      <c r="W106" s="4"/>
      <c r="X106" s="4"/>
      <c r="Y106" s="4"/>
      <c r="Z106" s="4"/>
      <c r="AA106" s="4"/>
    </row>
    <row r="107" spans="1:27">
      <c r="A107" s="6">
        <v>46046</v>
      </c>
      <c r="B107" s="26" t="s">
        <v>155</v>
      </c>
      <c r="C107" s="58" t="s">
        <v>156</v>
      </c>
      <c r="D107" s="9"/>
      <c r="E107" s="10" t="s">
        <v>21</v>
      </c>
      <c r="F107" s="16" t="s">
        <v>26</v>
      </c>
      <c r="G107" s="30">
        <v>4.58</v>
      </c>
      <c r="H107" s="30">
        <v>4.59</v>
      </c>
      <c r="I107" s="47">
        <v>206</v>
      </c>
      <c r="J107" s="13"/>
      <c r="K107" s="14">
        <f t="shared" si="0"/>
        <v>2</v>
      </c>
      <c r="L107" s="13">
        <v>120</v>
      </c>
      <c r="M107" s="13"/>
      <c r="N107" s="15"/>
      <c r="O107" s="4"/>
      <c r="P107" s="4"/>
      <c r="Q107" s="4"/>
      <c r="R107" s="4" t="s">
        <v>16</v>
      </c>
      <c r="S107" s="4"/>
      <c r="T107" s="4"/>
      <c r="V107" s="4"/>
      <c r="W107" s="4"/>
      <c r="X107" s="4"/>
      <c r="Y107" s="4"/>
      <c r="Z107" s="4"/>
      <c r="AA107" s="4"/>
    </row>
    <row r="108" spans="1:27">
      <c r="A108" s="6">
        <v>46046</v>
      </c>
      <c r="B108" s="26" t="s">
        <v>47</v>
      </c>
      <c r="C108" s="58" t="s">
        <v>59</v>
      </c>
      <c r="D108" s="9"/>
      <c r="E108" s="10" t="s">
        <v>127</v>
      </c>
      <c r="F108" s="16" t="s">
        <v>26</v>
      </c>
      <c r="G108" s="30">
        <v>4.46</v>
      </c>
      <c r="H108" s="30">
        <v>4.51</v>
      </c>
      <c r="I108" s="47">
        <v>382</v>
      </c>
      <c r="J108" s="13"/>
      <c r="K108" s="14">
        <f t="shared" si="0"/>
        <v>2.25</v>
      </c>
      <c r="L108" s="13">
        <v>135</v>
      </c>
      <c r="M108" s="13"/>
      <c r="N108" s="15"/>
      <c r="O108" s="4"/>
      <c r="P108" s="4"/>
      <c r="Q108" s="4"/>
      <c r="R108" s="4" t="s">
        <v>16</v>
      </c>
      <c r="S108" s="4"/>
      <c r="T108" s="4"/>
      <c r="V108" s="4"/>
      <c r="W108" s="4"/>
      <c r="X108" s="4"/>
      <c r="Y108" s="4"/>
      <c r="Z108" s="4"/>
      <c r="AA108" s="4"/>
    </row>
    <row r="109" spans="1:27">
      <c r="A109" s="6">
        <v>46046</v>
      </c>
      <c r="B109" s="58" t="s">
        <v>68</v>
      </c>
      <c r="C109" s="58" t="s">
        <v>157</v>
      </c>
      <c r="D109" s="9"/>
      <c r="E109" s="10" t="s">
        <v>115</v>
      </c>
      <c r="F109" s="16" t="s">
        <v>26</v>
      </c>
      <c r="G109" s="30">
        <v>4.46</v>
      </c>
      <c r="H109" s="30">
        <v>4.5</v>
      </c>
      <c r="I109" s="47">
        <v>27</v>
      </c>
      <c r="J109" s="13"/>
      <c r="K109" s="14">
        <f t="shared" si="0"/>
        <v>1.4666666666666666</v>
      </c>
      <c r="L109" s="13">
        <v>88</v>
      </c>
      <c r="M109" s="13"/>
      <c r="N109" s="15"/>
      <c r="O109" s="4"/>
      <c r="P109" s="4"/>
      <c r="Q109" s="4"/>
      <c r="R109" s="4" t="s">
        <v>16</v>
      </c>
      <c r="S109" s="4"/>
      <c r="T109" s="4"/>
      <c r="V109" s="4"/>
      <c r="W109" s="4"/>
      <c r="X109" s="4"/>
      <c r="Y109" s="4"/>
      <c r="Z109" s="4"/>
      <c r="AA109" s="4"/>
    </row>
    <row r="110" spans="1:27">
      <c r="A110" s="6">
        <v>46046</v>
      </c>
      <c r="B110" s="60" t="s">
        <v>77</v>
      </c>
      <c r="C110" s="58" t="s">
        <v>92</v>
      </c>
      <c r="D110" s="9"/>
      <c r="E110" s="10" t="s">
        <v>57</v>
      </c>
      <c r="F110" s="11" t="s">
        <v>22</v>
      </c>
      <c r="G110" s="30">
        <v>4.57</v>
      </c>
      <c r="H110" s="30">
        <v>4.5999999999999996</v>
      </c>
      <c r="I110" s="47">
        <v>325</v>
      </c>
      <c r="J110" s="13"/>
      <c r="K110" s="14">
        <f t="shared" si="0"/>
        <v>1.5833333333333333</v>
      </c>
      <c r="L110" s="13">
        <v>95</v>
      </c>
      <c r="M110" s="13"/>
      <c r="N110" s="15"/>
      <c r="O110" s="4"/>
      <c r="P110" s="4"/>
      <c r="Q110" s="4"/>
      <c r="R110" s="4" t="s">
        <v>16</v>
      </c>
      <c r="S110" s="4"/>
      <c r="T110" s="4"/>
      <c r="V110" s="4"/>
      <c r="W110" s="4"/>
      <c r="X110" s="4"/>
      <c r="Y110" s="4"/>
      <c r="Z110" s="4"/>
      <c r="AA110" s="4"/>
    </row>
    <row r="111" spans="1:27">
      <c r="A111" s="6">
        <v>46046</v>
      </c>
      <c r="B111" s="26" t="s">
        <v>33</v>
      </c>
      <c r="C111" s="58" t="s">
        <v>64</v>
      </c>
      <c r="D111" s="9"/>
      <c r="E111" s="10" t="s">
        <v>118</v>
      </c>
      <c r="F111" s="16" t="s">
        <v>26</v>
      </c>
      <c r="G111" s="30">
        <v>4.8</v>
      </c>
      <c r="H111" s="30">
        <v>4.8600000000000003</v>
      </c>
      <c r="I111" s="47">
        <v>158</v>
      </c>
      <c r="J111" s="13"/>
      <c r="K111" s="14">
        <f t="shared" si="0"/>
        <v>4.0333333333333332</v>
      </c>
      <c r="L111" s="13">
        <v>242</v>
      </c>
      <c r="M111" s="13"/>
      <c r="N111" s="15"/>
      <c r="O111" s="4"/>
      <c r="P111" s="4"/>
      <c r="Q111" s="4"/>
      <c r="R111" s="4" t="s">
        <v>16</v>
      </c>
      <c r="S111" s="4"/>
      <c r="T111" s="4"/>
      <c r="V111" s="4"/>
      <c r="W111" s="4"/>
      <c r="X111" s="4"/>
      <c r="Y111" s="4"/>
      <c r="Z111" s="4"/>
      <c r="AA111" s="4"/>
    </row>
    <row r="112" spans="1:27">
      <c r="A112" s="6">
        <v>46046</v>
      </c>
      <c r="B112" s="58" t="s">
        <v>81</v>
      </c>
      <c r="C112" s="58" t="s">
        <v>94</v>
      </c>
      <c r="D112" s="9"/>
      <c r="E112" s="10" t="s">
        <v>32</v>
      </c>
      <c r="F112" s="11" t="s">
        <v>22</v>
      </c>
      <c r="G112" s="30">
        <v>4.74</v>
      </c>
      <c r="H112" s="30">
        <v>4.74</v>
      </c>
      <c r="I112" s="47">
        <v>386</v>
      </c>
      <c r="J112" s="13"/>
      <c r="K112" s="14">
        <f t="shared" si="0"/>
        <v>2.9</v>
      </c>
      <c r="L112" s="13">
        <v>174</v>
      </c>
      <c r="M112" s="13"/>
      <c r="N112" s="15"/>
      <c r="O112" s="4"/>
      <c r="P112" s="4"/>
      <c r="Q112" s="4"/>
      <c r="R112" s="4" t="s">
        <v>16</v>
      </c>
      <c r="S112" s="4"/>
      <c r="T112" s="4"/>
      <c r="V112" s="4"/>
      <c r="W112" s="4"/>
      <c r="X112" s="4"/>
      <c r="Y112" s="4"/>
      <c r="Z112" s="4"/>
      <c r="AA112" s="4"/>
    </row>
    <row r="113" spans="1:27">
      <c r="A113" s="6">
        <v>46046</v>
      </c>
      <c r="B113" s="60" t="s">
        <v>77</v>
      </c>
      <c r="C113" s="58" t="s">
        <v>44</v>
      </c>
      <c r="D113" s="9"/>
      <c r="E113" s="10" t="s">
        <v>133</v>
      </c>
      <c r="F113" s="16" t="s">
        <v>26</v>
      </c>
      <c r="G113" s="30">
        <v>4.46</v>
      </c>
      <c r="H113" s="30">
        <v>4.53</v>
      </c>
      <c r="I113" s="47">
        <v>726</v>
      </c>
      <c r="J113" s="13"/>
      <c r="K113" s="14">
        <f t="shared" si="0"/>
        <v>2.2666666666666666</v>
      </c>
      <c r="L113" s="13">
        <v>136</v>
      </c>
      <c r="M113" s="13"/>
      <c r="N113" s="15"/>
      <c r="O113" s="4"/>
      <c r="P113" s="4"/>
      <c r="Q113" s="4"/>
      <c r="R113" s="4" t="s">
        <v>16</v>
      </c>
      <c r="S113" s="4"/>
      <c r="T113" s="4"/>
      <c r="V113" s="4"/>
      <c r="W113" s="4"/>
      <c r="X113" s="4"/>
      <c r="Y113" s="4"/>
      <c r="Z113" s="4"/>
      <c r="AA113" s="4"/>
    </row>
    <row r="114" spans="1:27">
      <c r="A114" s="6">
        <v>46046</v>
      </c>
      <c r="B114" s="26" t="s">
        <v>47</v>
      </c>
      <c r="C114" s="58" t="s">
        <v>48</v>
      </c>
      <c r="D114" s="9"/>
      <c r="E114" s="10" t="s">
        <v>120</v>
      </c>
      <c r="F114" s="11" t="s">
        <v>22</v>
      </c>
      <c r="G114" s="30">
        <v>4.68</v>
      </c>
      <c r="H114" s="30">
        <v>4.68</v>
      </c>
      <c r="I114" s="47">
        <v>258</v>
      </c>
      <c r="J114" s="13"/>
      <c r="K114" s="14">
        <f t="shared" si="0"/>
        <v>2.2999999999999998</v>
      </c>
      <c r="L114" s="13">
        <v>138</v>
      </c>
      <c r="M114" s="13">
        <v>2028</v>
      </c>
      <c r="N114" s="15">
        <v>1947</v>
      </c>
      <c r="O114" s="4"/>
      <c r="P114" s="59">
        <f>N114/M114</f>
        <v>0.9600591715976331</v>
      </c>
      <c r="Q114" s="4"/>
      <c r="R114" s="4" t="s">
        <v>16</v>
      </c>
      <c r="S114" s="4"/>
      <c r="T114" s="4"/>
      <c r="V114" s="4"/>
      <c r="W114" s="4"/>
      <c r="X114" s="4"/>
      <c r="Y114" s="4"/>
      <c r="Z114" s="4"/>
      <c r="AA114" s="4"/>
    </row>
    <row r="115" spans="1:27">
      <c r="A115" s="6">
        <v>46040</v>
      </c>
      <c r="B115" s="23" t="s">
        <v>19</v>
      </c>
      <c r="C115" s="25" t="s">
        <v>20</v>
      </c>
      <c r="D115" s="9"/>
      <c r="E115" s="10" t="s">
        <v>158</v>
      </c>
      <c r="F115" s="11" t="s">
        <v>22</v>
      </c>
      <c r="G115" s="30">
        <v>4.5</v>
      </c>
      <c r="H115" s="30">
        <v>4.55</v>
      </c>
      <c r="I115" s="47">
        <v>86</v>
      </c>
      <c r="J115" s="13"/>
      <c r="K115" s="14">
        <f t="shared" si="0"/>
        <v>0</v>
      </c>
      <c r="L115" s="13"/>
      <c r="M115" s="13"/>
      <c r="N115" s="15"/>
      <c r="O115" s="4"/>
      <c r="P115" s="4"/>
      <c r="Q115" s="4"/>
      <c r="R115" s="4" t="s">
        <v>16</v>
      </c>
      <c r="S115" s="4"/>
      <c r="T115" s="4"/>
      <c r="V115" s="4"/>
      <c r="W115" s="4"/>
      <c r="X115" s="4"/>
      <c r="Y115" s="4"/>
      <c r="Z115" s="4"/>
      <c r="AA115" s="4"/>
    </row>
    <row r="116" spans="1:27">
      <c r="A116" s="6">
        <v>46040</v>
      </c>
      <c r="B116" s="24" t="s">
        <v>98</v>
      </c>
      <c r="C116" s="25" t="s">
        <v>99</v>
      </c>
      <c r="D116" s="17"/>
      <c r="E116" s="34" t="s">
        <v>140</v>
      </c>
      <c r="F116" s="11" t="s">
        <v>22</v>
      </c>
      <c r="G116" s="30">
        <v>4.28</v>
      </c>
      <c r="H116" s="30">
        <v>4.3</v>
      </c>
      <c r="I116" s="47">
        <v>247</v>
      </c>
      <c r="J116" s="13"/>
      <c r="K116" s="14">
        <f t="shared" si="0"/>
        <v>0</v>
      </c>
      <c r="L116" s="13"/>
      <c r="M116" s="13"/>
      <c r="N116" s="15"/>
      <c r="O116" s="4"/>
      <c r="P116" s="4"/>
      <c r="Q116" s="4"/>
      <c r="R116" s="4" t="s">
        <v>16</v>
      </c>
      <c r="S116" s="4"/>
      <c r="T116" s="4"/>
      <c r="V116" s="4"/>
      <c r="W116" s="4"/>
      <c r="X116" s="4"/>
      <c r="Y116" s="4"/>
      <c r="Z116" s="4"/>
      <c r="AA116" s="4"/>
    </row>
    <row r="117" spans="1:27">
      <c r="A117" s="6">
        <v>46040</v>
      </c>
      <c r="B117" s="23" t="s">
        <v>27</v>
      </c>
      <c r="C117" s="25" t="s">
        <v>159</v>
      </c>
      <c r="D117" s="17"/>
      <c r="E117" s="34" t="s">
        <v>21</v>
      </c>
      <c r="F117" s="16" t="s">
        <v>26</v>
      </c>
      <c r="G117" s="30">
        <v>4.7</v>
      </c>
      <c r="H117" s="30">
        <v>4.71</v>
      </c>
      <c r="I117" s="47">
        <v>202</v>
      </c>
      <c r="J117" s="13"/>
      <c r="K117" s="14">
        <f t="shared" si="0"/>
        <v>2.3333333333333335</v>
      </c>
      <c r="L117" s="13">
        <v>140</v>
      </c>
      <c r="M117" s="13"/>
      <c r="N117" s="15"/>
      <c r="O117" s="4"/>
      <c r="P117" s="4"/>
      <c r="Q117" s="4"/>
      <c r="R117" s="4" t="s">
        <v>16</v>
      </c>
      <c r="S117" s="4"/>
      <c r="T117" s="4"/>
      <c r="V117" s="4"/>
      <c r="W117" s="4"/>
      <c r="X117" s="4"/>
      <c r="Y117" s="4"/>
      <c r="Z117" s="4"/>
      <c r="AA117" s="4"/>
    </row>
    <row r="118" spans="1:27">
      <c r="A118" s="6">
        <v>46040</v>
      </c>
      <c r="B118" s="22" t="s">
        <v>108</v>
      </c>
      <c r="C118" s="25" t="s">
        <v>160</v>
      </c>
      <c r="D118" s="17"/>
      <c r="E118" s="34" t="s">
        <v>127</v>
      </c>
      <c r="F118" s="16" t="s">
        <v>26</v>
      </c>
      <c r="G118" s="30">
        <v>4.6500000000000004</v>
      </c>
      <c r="H118" s="30">
        <v>4.68</v>
      </c>
      <c r="I118" s="47">
        <v>397</v>
      </c>
      <c r="J118" s="13"/>
      <c r="K118" s="14">
        <f t="shared" si="0"/>
        <v>2.1</v>
      </c>
      <c r="L118" s="13">
        <v>126</v>
      </c>
      <c r="M118" s="13"/>
      <c r="N118" s="15"/>
      <c r="O118" s="4"/>
      <c r="P118" s="4"/>
      <c r="Q118" s="4"/>
      <c r="R118" s="4" t="s">
        <v>16</v>
      </c>
      <c r="S118" s="4"/>
      <c r="T118" s="4"/>
      <c r="V118" s="4"/>
      <c r="W118" s="4"/>
      <c r="X118" s="4"/>
      <c r="Y118" s="4"/>
      <c r="Z118" s="4"/>
      <c r="AA118" s="4"/>
    </row>
    <row r="119" spans="1:27">
      <c r="A119" s="6">
        <v>46040</v>
      </c>
      <c r="B119" s="23" t="s">
        <v>27</v>
      </c>
      <c r="C119" s="25" t="s">
        <v>161</v>
      </c>
      <c r="D119" s="17"/>
      <c r="E119" s="34" t="s">
        <v>115</v>
      </c>
      <c r="F119" s="16" t="s">
        <v>26</v>
      </c>
      <c r="G119" s="30">
        <v>4.4400000000000004</v>
      </c>
      <c r="H119" s="30">
        <v>4.4400000000000004</v>
      </c>
      <c r="I119" s="47">
        <v>206</v>
      </c>
      <c r="J119" s="13"/>
      <c r="K119" s="14">
        <f t="shared" si="0"/>
        <v>2.2166666666666668</v>
      </c>
      <c r="L119" s="13">
        <v>133</v>
      </c>
      <c r="M119" s="13"/>
      <c r="N119" s="15"/>
      <c r="O119" s="4"/>
      <c r="P119" s="4"/>
      <c r="Q119" s="4"/>
      <c r="R119" s="4" t="s">
        <v>16</v>
      </c>
      <c r="S119" s="4"/>
      <c r="T119" s="4"/>
      <c r="V119" s="4"/>
      <c r="W119" s="4"/>
      <c r="X119" s="4"/>
      <c r="Y119" s="4"/>
      <c r="Z119" s="4"/>
      <c r="AA119" s="4"/>
    </row>
    <row r="120" spans="1:27">
      <c r="A120" s="6">
        <v>46040</v>
      </c>
      <c r="B120" s="32" t="s">
        <v>30</v>
      </c>
      <c r="C120" s="25" t="s">
        <v>31</v>
      </c>
      <c r="D120" s="17"/>
      <c r="E120" s="34" t="s">
        <v>117</v>
      </c>
      <c r="F120" s="16" t="s">
        <v>26</v>
      </c>
      <c r="G120" s="30">
        <v>4.68</v>
      </c>
      <c r="H120" s="30">
        <v>4.66</v>
      </c>
      <c r="I120" s="47">
        <v>183</v>
      </c>
      <c r="J120" s="13"/>
      <c r="K120" s="14">
        <f t="shared" si="0"/>
        <v>2.1666666666666665</v>
      </c>
      <c r="L120" s="13">
        <v>130</v>
      </c>
      <c r="N120" s="15"/>
      <c r="O120" s="4"/>
      <c r="P120" s="4"/>
      <c r="Q120" s="13" t="s">
        <v>162</v>
      </c>
      <c r="R120" s="4" t="s">
        <v>16</v>
      </c>
      <c r="S120" s="4"/>
      <c r="T120" s="4"/>
      <c r="V120" s="4"/>
      <c r="W120" s="4"/>
      <c r="X120" s="4"/>
      <c r="Y120" s="4"/>
      <c r="Z120" s="4"/>
      <c r="AA120" s="4"/>
    </row>
    <row r="121" spans="1:27">
      <c r="A121" s="6">
        <v>46040</v>
      </c>
      <c r="B121" s="23" t="s">
        <v>23</v>
      </c>
      <c r="C121" s="25" t="s">
        <v>38</v>
      </c>
      <c r="D121" s="17"/>
      <c r="E121" s="34" t="s">
        <v>57</v>
      </c>
      <c r="F121" s="16" t="s">
        <v>26</v>
      </c>
      <c r="G121" s="30">
        <v>4.42</v>
      </c>
      <c r="H121" s="30">
        <v>4.45</v>
      </c>
      <c r="I121" s="47">
        <v>323</v>
      </c>
      <c r="J121" s="13"/>
      <c r="K121" s="14">
        <f t="shared" si="0"/>
        <v>3.5333333333333332</v>
      </c>
      <c r="L121" s="13">
        <v>212</v>
      </c>
      <c r="N121" s="15"/>
      <c r="O121" s="4"/>
      <c r="P121" s="4"/>
      <c r="Q121" s="13"/>
      <c r="R121" s="4" t="s">
        <v>16</v>
      </c>
      <c r="S121" s="4"/>
      <c r="T121" s="4"/>
      <c r="V121" s="4"/>
      <c r="W121" s="4"/>
      <c r="X121" s="4"/>
      <c r="Y121" s="4"/>
      <c r="Z121" s="4"/>
      <c r="AA121" s="4"/>
    </row>
    <row r="122" spans="1:27">
      <c r="A122" s="6">
        <v>46040</v>
      </c>
      <c r="B122" s="61" t="s">
        <v>81</v>
      </c>
      <c r="C122" s="25" t="s">
        <v>110</v>
      </c>
      <c r="D122" s="17"/>
      <c r="E122" s="34" t="s">
        <v>120</v>
      </c>
      <c r="F122" s="11" t="s">
        <v>22</v>
      </c>
      <c r="G122" s="30">
        <v>4.57</v>
      </c>
      <c r="H122" s="30">
        <v>4.67</v>
      </c>
      <c r="I122" s="47">
        <v>1164</v>
      </c>
      <c r="J122" s="13"/>
      <c r="K122" s="14">
        <f t="shared" si="0"/>
        <v>0</v>
      </c>
      <c r="L122" s="13"/>
      <c r="N122" s="15">
        <v>2188</v>
      </c>
      <c r="O122" s="4"/>
      <c r="P122" s="59">
        <f>N122/Q122</f>
        <v>0.95922840859272251</v>
      </c>
      <c r="Q122" s="13">
        <v>2281</v>
      </c>
      <c r="R122" s="4" t="s">
        <v>16</v>
      </c>
      <c r="S122" s="4"/>
      <c r="T122" s="4"/>
      <c r="V122" s="4"/>
      <c r="W122" s="4"/>
      <c r="X122" s="4"/>
      <c r="Y122" s="4"/>
      <c r="Z122" s="4"/>
      <c r="AA122" s="4"/>
    </row>
    <row r="123" spans="1:27">
      <c r="A123" s="6">
        <v>46039</v>
      </c>
      <c r="B123" s="39" t="s">
        <v>19</v>
      </c>
      <c r="C123" s="34" t="s">
        <v>53</v>
      </c>
      <c r="D123" s="17"/>
      <c r="E123" s="34" t="s">
        <v>158</v>
      </c>
      <c r="F123" s="11" t="s">
        <v>22</v>
      </c>
      <c r="G123" s="30">
        <v>4.49</v>
      </c>
      <c r="H123" s="30">
        <v>4.55</v>
      </c>
      <c r="I123" s="47">
        <v>113</v>
      </c>
      <c r="J123" s="13"/>
      <c r="K123" s="14">
        <f t="shared" si="0"/>
        <v>0</v>
      </c>
      <c r="L123" s="13"/>
      <c r="N123" s="15"/>
      <c r="O123" s="4"/>
      <c r="P123" s="4"/>
      <c r="Q123" s="13"/>
      <c r="R123" s="4" t="s">
        <v>16</v>
      </c>
      <c r="S123" s="4"/>
      <c r="T123" s="4"/>
      <c r="V123" s="4"/>
      <c r="W123" s="4"/>
      <c r="X123" s="4"/>
      <c r="Y123" s="4"/>
      <c r="Z123" s="4"/>
      <c r="AA123" s="4"/>
    </row>
    <row r="124" spans="1:27">
      <c r="A124" s="6">
        <v>46039</v>
      </c>
      <c r="B124" s="34" t="s">
        <v>98</v>
      </c>
      <c r="C124" s="34" t="s">
        <v>112</v>
      </c>
      <c r="D124" s="17"/>
      <c r="E124" s="34" t="s">
        <v>140</v>
      </c>
      <c r="F124" s="11" t="s">
        <v>22</v>
      </c>
      <c r="G124" s="30">
        <v>4.3499999999999996</v>
      </c>
      <c r="H124" s="30">
        <v>4.33</v>
      </c>
      <c r="I124" s="47">
        <v>218</v>
      </c>
      <c r="J124" s="13"/>
      <c r="K124" s="14">
        <f t="shared" si="0"/>
        <v>0</v>
      </c>
      <c r="L124" s="13"/>
      <c r="N124" s="15"/>
      <c r="O124" s="4"/>
      <c r="P124" s="4"/>
      <c r="Q124" s="13"/>
      <c r="R124" s="4" t="s">
        <v>16</v>
      </c>
      <c r="S124" s="4"/>
      <c r="T124" s="4"/>
      <c r="V124" s="4"/>
      <c r="W124" s="4"/>
      <c r="X124" s="4"/>
      <c r="Y124" s="4"/>
      <c r="Z124" s="4"/>
      <c r="AA124" s="4"/>
    </row>
    <row r="125" spans="1:27">
      <c r="A125" s="6">
        <v>46039</v>
      </c>
      <c r="B125" s="39" t="s">
        <v>125</v>
      </c>
      <c r="C125" s="34" t="s">
        <v>163</v>
      </c>
      <c r="D125" s="17"/>
      <c r="E125" s="34" t="s">
        <v>164</v>
      </c>
      <c r="F125" s="16" t="s">
        <v>26</v>
      </c>
      <c r="G125" s="30">
        <v>4.41</v>
      </c>
      <c r="H125" s="30">
        <v>4.43</v>
      </c>
      <c r="I125" s="47">
        <v>635</v>
      </c>
      <c r="J125" s="13"/>
      <c r="K125" s="14">
        <f t="shared" si="0"/>
        <v>1.2833333333333334</v>
      </c>
      <c r="L125" s="13">
        <v>77</v>
      </c>
      <c r="N125" s="15"/>
      <c r="O125" s="4"/>
      <c r="P125" s="4"/>
      <c r="Q125" s="13"/>
      <c r="R125" s="4" t="s">
        <v>16</v>
      </c>
      <c r="S125" s="4"/>
      <c r="T125" s="4"/>
      <c r="V125" s="4"/>
      <c r="W125" s="4"/>
      <c r="X125" s="4"/>
      <c r="Y125" s="4"/>
      <c r="Z125" s="4"/>
      <c r="AA125" s="4"/>
    </row>
    <row r="126" spans="1:27">
      <c r="A126" s="6">
        <v>46039</v>
      </c>
      <c r="B126" s="23" t="s">
        <v>47</v>
      </c>
      <c r="C126" s="34" t="s">
        <v>74</v>
      </c>
      <c r="D126" s="17"/>
      <c r="E126" s="34" t="s">
        <v>115</v>
      </c>
      <c r="F126" s="16" t="s">
        <v>26</v>
      </c>
      <c r="G126" s="30">
        <v>4.57</v>
      </c>
      <c r="H126" s="30">
        <v>4.5999999999999996</v>
      </c>
      <c r="I126" s="47">
        <v>186</v>
      </c>
      <c r="J126" s="13"/>
      <c r="K126" s="14">
        <f t="shared" si="0"/>
        <v>2.2833333333333332</v>
      </c>
      <c r="L126" s="13">
        <v>137</v>
      </c>
      <c r="N126" s="15"/>
      <c r="O126" s="4"/>
      <c r="P126" s="4"/>
      <c r="Q126" s="13"/>
      <c r="R126" s="4" t="s">
        <v>16</v>
      </c>
      <c r="S126" s="4"/>
      <c r="T126" s="4"/>
      <c r="V126" s="4"/>
      <c r="W126" s="4"/>
      <c r="X126" s="4"/>
      <c r="Y126" s="4"/>
      <c r="Z126" s="4"/>
      <c r="AA126" s="4"/>
    </row>
    <row r="127" spans="1:27">
      <c r="A127" s="6">
        <v>46039</v>
      </c>
      <c r="B127" s="49" t="s">
        <v>77</v>
      </c>
      <c r="C127" s="34" t="s">
        <v>89</v>
      </c>
      <c r="D127" s="17"/>
      <c r="E127" s="34" t="s">
        <v>117</v>
      </c>
      <c r="F127" s="16" t="s">
        <v>26</v>
      </c>
      <c r="G127" s="30">
        <v>4.66</v>
      </c>
      <c r="H127" s="30">
        <v>4.7</v>
      </c>
      <c r="I127" s="47">
        <v>271</v>
      </c>
      <c r="J127" s="13"/>
      <c r="K127" s="14">
        <f t="shared" si="0"/>
        <v>2</v>
      </c>
      <c r="L127" s="13">
        <v>120</v>
      </c>
      <c r="N127" s="15"/>
      <c r="O127" s="4"/>
      <c r="P127" s="4"/>
      <c r="Q127" s="13"/>
      <c r="R127" s="4" t="s">
        <v>16</v>
      </c>
      <c r="S127" s="4"/>
      <c r="T127" s="4"/>
      <c r="V127" s="4"/>
      <c r="W127" s="4"/>
      <c r="X127" s="4"/>
      <c r="Y127" s="4"/>
      <c r="Z127" s="4"/>
      <c r="AA127" s="4"/>
    </row>
    <row r="128" spans="1:27">
      <c r="A128" s="6">
        <v>46039</v>
      </c>
      <c r="B128" s="23" t="s">
        <v>23</v>
      </c>
      <c r="C128" s="34" t="s">
        <v>64</v>
      </c>
      <c r="D128" s="17"/>
      <c r="E128" s="34" t="s">
        <v>57</v>
      </c>
      <c r="F128" s="16" t="s">
        <v>26</v>
      </c>
      <c r="G128" s="30">
        <v>4.2699999999999996</v>
      </c>
      <c r="H128" s="30">
        <v>4.28</v>
      </c>
      <c r="I128" s="47">
        <v>488</v>
      </c>
      <c r="J128" s="13"/>
      <c r="K128" s="14">
        <f t="shared" si="0"/>
        <v>4.666666666666667</v>
      </c>
      <c r="L128" s="13">
        <v>280</v>
      </c>
      <c r="N128" s="15"/>
      <c r="O128" s="4"/>
      <c r="P128" s="59"/>
      <c r="Q128" s="13" t="s">
        <v>165</v>
      </c>
      <c r="R128" s="4" t="s">
        <v>16</v>
      </c>
      <c r="S128" s="4"/>
      <c r="T128" s="4"/>
      <c r="V128" s="4"/>
      <c r="W128" s="4"/>
      <c r="X128" s="4"/>
      <c r="Y128" s="4"/>
      <c r="Z128" s="4"/>
      <c r="AA128" s="4"/>
    </row>
    <row r="129" spans="1:27">
      <c r="A129" s="6">
        <v>46039</v>
      </c>
      <c r="B129" s="61" t="s">
        <v>81</v>
      </c>
      <c r="C129" s="34" t="s">
        <v>123</v>
      </c>
      <c r="D129" s="17"/>
      <c r="E129" s="34" t="s">
        <v>120</v>
      </c>
      <c r="F129" s="11" t="s">
        <v>22</v>
      </c>
      <c r="G129" s="30">
        <v>4.53</v>
      </c>
      <c r="H129" s="30">
        <v>4.6500000000000004</v>
      </c>
      <c r="I129" s="47">
        <v>365</v>
      </c>
      <c r="J129" s="13"/>
      <c r="K129" s="14">
        <f t="shared" si="0"/>
        <v>0</v>
      </c>
      <c r="L129" s="13"/>
      <c r="M129" s="13">
        <v>1919</v>
      </c>
      <c r="N129" s="15">
        <v>1817</v>
      </c>
      <c r="O129" s="4"/>
      <c r="P129" s="59">
        <f>N129/M129</f>
        <v>0.94684731631057839</v>
      </c>
      <c r="Q129" s="4"/>
      <c r="R129" s="4" t="s">
        <v>16</v>
      </c>
      <c r="S129" s="4"/>
      <c r="T129" s="4"/>
      <c r="V129" s="4"/>
      <c r="W129" s="4"/>
      <c r="X129" s="4"/>
      <c r="Y129" s="4"/>
      <c r="Z129" s="4"/>
      <c r="AA129" s="4"/>
    </row>
    <row r="130" spans="1:27">
      <c r="A130" s="6">
        <v>46033</v>
      </c>
      <c r="B130" s="23" t="s">
        <v>166</v>
      </c>
      <c r="C130" s="25" t="s">
        <v>72</v>
      </c>
      <c r="D130" s="17"/>
      <c r="E130" s="34" t="s">
        <v>158</v>
      </c>
      <c r="F130" s="16" t="s">
        <v>26</v>
      </c>
      <c r="G130" s="30">
        <v>4.3099999999999996</v>
      </c>
      <c r="H130" s="30">
        <v>4.41</v>
      </c>
      <c r="I130" s="47">
        <v>79</v>
      </c>
      <c r="J130" s="13"/>
      <c r="K130" s="14">
        <f t="shared" si="0"/>
        <v>1.8333333333333333</v>
      </c>
      <c r="L130" s="13">
        <v>110</v>
      </c>
      <c r="M130" s="13"/>
      <c r="N130" s="15"/>
      <c r="O130" s="4"/>
      <c r="P130" s="4"/>
      <c r="Q130" s="4"/>
      <c r="R130" s="4" t="s">
        <v>16</v>
      </c>
      <c r="S130" s="4"/>
      <c r="T130" s="4"/>
      <c r="V130" s="4"/>
      <c r="W130" s="4"/>
      <c r="X130" s="4"/>
      <c r="Y130" s="4"/>
      <c r="Z130" s="4"/>
      <c r="AA130" s="4"/>
    </row>
    <row r="131" spans="1:27">
      <c r="A131" s="6">
        <v>46033</v>
      </c>
      <c r="B131" s="24" t="s">
        <v>98</v>
      </c>
      <c r="C131" s="25" t="s">
        <v>124</v>
      </c>
      <c r="D131" s="17"/>
      <c r="E131" s="34" t="s">
        <v>140</v>
      </c>
      <c r="F131" s="11" t="s">
        <v>22</v>
      </c>
      <c r="G131" s="30">
        <v>4.2699999999999996</v>
      </c>
      <c r="H131" s="30">
        <v>4.32</v>
      </c>
      <c r="I131" s="47">
        <v>238</v>
      </c>
      <c r="J131" s="13"/>
      <c r="K131" s="14">
        <f t="shared" si="0"/>
        <v>0</v>
      </c>
      <c r="L131" s="13"/>
      <c r="M131" s="13"/>
      <c r="N131" s="15"/>
      <c r="O131" s="4"/>
      <c r="P131" s="4"/>
      <c r="Q131" s="4"/>
      <c r="R131" s="4" t="s">
        <v>16</v>
      </c>
      <c r="S131" s="4"/>
      <c r="T131" s="4"/>
      <c r="V131" s="4"/>
      <c r="W131" s="4"/>
      <c r="X131" s="4"/>
      <c r="Y131" s="4"/>
      <c r="Z131" s="4"/>
      <c r="AA131" s="4"/>
    </row>
    <row r="132" spans="1:27">
      <c r="A132" s="6">
        <v>46033</v>
      </c>
      <c r="B132" s="23" t="s">
        <v>58</v>
      </c>
      <c r="C132" s="63" t="s">
        <v>167</v>
      </c>
      <c r="D132" s="64"/>
      <c r="E132" s="34" t="s">
        <v>164</v>
      </c>
      <c r="F132" s="16" t="s">
        <v>26</v>
      </c>
      <c r="G132" s="30">
        <v>4.59</v>
      </c>
      <c r="H132" s="30">
        <v>4.5999999999999996</v>
      </c>
      <c r="I132" s="47">
        <v>525</v>
      </c>
      <c r="J132" s="13"/>
      <c r="K132" s="14">
        <f t="shared" si="0"/>
        <v>1.55</v>
      </c>
      <c r="L132" s="13">
        <v>93</v>
      </c>
      <c r="M132" s="13"/>
      <c r="N132" s="15"/>
      <c r="O132" s="4"/>
      <c r="P132" s="4"/>
      <c r="Q132" s="4"/>
      <c r="R132" s="4" t="s">
        <v>16</v>
      </c>
      <c r="S132" s="4"/>
      <c r="T132" s="4"/>
      <c r="V132" s="4"/>
      <c r="W132" s="4"/>
      <c r="X132" s="4"/>
      <c r="Y132" s="4"/>
      <c r="Z132" s="4"/>
      <c r="AA132" s="4"/>
    </row>
    <row r="133" spans="1:27">
      <c r="A133" s="6">
        <v>46033</v>
      </c>
      <c r="B133" s="60" t="s">
        <v>77</v>
      </c>
      <c r="C133" s="25" t="s">
        <v>89</v>
      </c>
      <c r="D133" s="64"/>
      <c r="E133" s="34" t="s">
        <v>115</v>
      </c>
      <c r="F133" s="16" t="s">
        <v>26</v>
      </c>
      <c r="G133" s="30">
        <v>4.51</v>
      </c>
      <c r="H133" s="30">
        <v>4.55</v>
      </c>
      <c r="I133" s="47">
        <v>237</v>
      </c>
      <c r="J133" s="13"/>
      <c r="K133" s="14">
        <f t="shared" si="0"/>
        <v>1.75</v>
      </c>
      <c r="L133" s="13">
        <v>105</v>
      </c>
      <c r="M133" s="13"/>
      <c r="N133" s="15"/>
      <c r="O133" s="4"/>
      <c r="P133" s="4"/>
      <c r="Q133" s="4"/>
      <c r="R133" s="4" t="s">
        <v>16</v>
      </c>
      <c r="S133" s="4"/>
      <c r="T133" s="4"/>
      <c r="V133" s="4"/>
      <c r="W133" s="4"/>
      <c r="X133" s="4"/>
      <c r="Y133" s="4"/>
      <c r="Z133" s="4"/>
      <c r="AA133" s="4"/>
    </row>
    <row r="134" spans="1:27">
      <c r="A134" s="6">
        <v>46033</v>
      </c>
      <c r="B134" s="26" t="s">
        <v>47</v>
      </c>
      <c r="C134" s="25" t="s">
        <v>48</v>
      </c>
      <c r="D134" s="64"/>
      <c r="E134" s="34" t="s">
        <v>117</v>
      </c>
      <c r="F134" s="16" t="s">
        <v>26</v>
      </c>
      <c r="G134" s="30">
        <v>4.68</v>
      </c>
      <c r="H134" s="30">
        <v>4.68</v>
      </c>
      <c r="I134" s="47">
        <v>257</v>
      </c>
      <c r="J134" s="13"/>
      <c r="K134" s="14">
        <f t="shared" si="0"/>
        <v>2.1</v>
      </c>
      <c r="L134" s="13">
        <v>126</v>
      </c>
      <c r="M134" s="13"/>
      <c r="N134" s="15"/>
      <c r="O134" s="4"/>
      <c r="P134" s="4"/>
      <c r="Q134" s="4"/>
      <c r="R134" s="4" t="s">
        <v>16</v>
      </c>
      <c r="S134" s="4"/>
      <c r="T134" s="4"/>
      <c r="V134" s="4"/>
      <c r="W134" s="4"/>
      <c r="X134" s="4"/>
      <c r="Y134" s="4"/>
      <c r="Z134" s="4"/>
      <c r="AA134" s="4"/>
    </row>
    <row r="135" spans="1:27">
      <c r="A135" s="6">
        <v>46033</v>
      </c>
      <c r="B135" s="26" t="s">
        <v>98</v>
      </c>
      <c r="C135" s="25" t="s">
        <v>41</v>
      </c>
      <c r="D135" s="64"/>
      <c r="E135" s="34" t="s">
        <v>118</v>
      </c>
      <c r="F135" s="16" t="s">
        <v>26</v>
      </c>
      <c r="G135" s="30">
        <v>4.6500000000000004</v>
      </c>
      <c r="H135" s="30">
        <v>4.67</v>
      </c>
      <c r="I135" s="47">
        <v>101</v>
      </c>
      <c r="J135" s="13"/>
      <c r="K135" s="14">
        <f t="shared" si="0"/>
        <v>0</v>
      </c>
      <c r="L135" s="13"/>
      <c r="M135" s="13">
        <v>636</v>
      </c>
      <c r="N135" s="15">
        <v>582</v>
      </c>
      <c r="O135" s="4"/>
      <c r="P135" s="59">
        <f t="shared" ref="P135:P136" si="2">N135/M135</f>
        <v>0.91509433962264153</v>
      </c>
      <c r="Q135" s="4"/>
      <c r="R135" s="4" t="s">
        <v>16</v>
      </c>
      <c r="S135" s="4"/>
      <c r="T135" s="4"/>
      <c r="V135" s="4"/>
      <c r="W135" s="4"/>
      <c r="X135" s="4"/>
      <c r="Y135" s="4"/>
      <c r="Z135" s="4"/>
      <c r="AA135" s="4"/>
    </row>
    <row r="136" spans="1:27">
      <c r="A136" s="6">
        <v>46033</v>
      </c>
      <c r="B136" s="23" t="s">
        <v>47</v>
      </c>
      <c r="C136" s="28" t="s">
        <v>67</v>
      </c>
      <c r="E136" s="10" t="s">
        <v>32</v>
      </c>
      <c r="F136" s="16" t="s">
        <v>26</v>
      </c>
      <c r="G136" s="30">
        <v>4.62</v>
      </c>
      <c r="H136" s="30">
        <v>4.66</v>
      </c>
      <c r="I136" s="47">
        <v>470</v>
      </c>
      <c r="J136" s="13"/>
      <c r="K136" s="14">
        <f t="shared" si="0"/>
        <v>2.2999999999999998</v>
      </c>
      <c r="L136" s="13">
        <v>138</v>
      </c>
      <c r="M136" s="15">
        <v>853</v>
      </c>
      <c r="N136" s="15">
        <v>744</v>
      </c>
      <c r="O136" s="4"/>
      <c r="P136" s="59">
        <f t="shared" si="2"/>
        <v>0.87221570926143022</v>
      </c>
      <c r="Q136" s="4"/>
      <c r="R136" s="4" t="s">
        <v>16</v>
      </c>
      <c r="S136" s="4"/>
      <c r="T136" s="4"/>
      <c r="V136" s="4"/>
      <c r="W136" s="4"/>
      <c r="X136" s="4"/>
      <c r="Y136" s="4"/>
      <c r="Z136" s="4"/>
      <c r="AA136" s="4"/>
    </row>
    <row r="137" spans="1:27">
      <c r="A137" s="6">
        <v>46033</v>
      </c>
      <c r="B137" s="23" t="s">
        <v>168</v>
      </c>
      <c r="C137" s="28" t="s">
        <v>84</v>
      </c>
      <c r="E137" s="10" t="s">
        <v>133</v>
      </c>
      <c r="F137" s="11" t="s">
        <v>22</v>
      </c>
      <c r="G137" s="30">
        <v>4.2300000000000004</v>
      </c>
      <c r="H137" s="30">
        <v>4.2</v>
      </c>
      <c r="I137" s="47">
        <v>714</v>
      </c>
      <c r="J137" s="13"/>
      <c r="K137" s="14">
        <f t="shared" si="0"/>
        <v>0</v>
      </c>
      <c r="L137" s="13"/>
      <c r="M137" s="13">
        <v>1218</v>
      </c>
      <c r="O137" s="15">
        <v>906</v>
      </c>
      <c r="P137" s="59">
        <f>O137/M137</f>
        <v>0.74384236453201968</v>
      </c>
      <c r="Q137" s="4"/>
      <c r="R137" s="4" t="s">
        <v>16</v>
      </c>
      <c r="S137" s="4"/>
      <c r="T137" s="4"/>
      <c r="V137" s="4"/>
      <c r="W137" s="4"/>
      <c r="X137" s="4"/>
      <c r="Y137" s="4"/>
      <c r="Z137" s="4"/>
      <c r="AA137" s="4"/>
    </row>
    <row r="138" spans="1:27">
      <c r="A138" s="6">
        <v>46032</v>
      </c>
      <c r="B138" s="10" t="s">
        <v>166</v>
      </c>
      <c r="C138" s="10" t="s">
        <v>87</v>
      </c>
      <c r="E138" s="10" t="s">
        <v>158</v>
      </c>
      <c r="F138" s="16" t="s">
        <v>26</v>
      </c>
      <c r="G138" s="30">
        <v>4.08</v>
      </c>
      <c r="H138" s="30">
        <v>4.1900000000000004</v>
      </c>
      <c r="I138" s="47">
        <v>382</v>
      </c>
      <c r="J138" s="13"/>
      <c r="K138" s="14">
        <f t="shared" si="0"/>
        <v>1.7666666666666666</v>
      </c>
      <c r="L138" s="13">
        <v>106</v>
      </c>
      <c r="M138" s="13"/>
      <c r="N138" s="15"/>
      <c r="O138" s="4"/>
      <c r="P138" s="4"/>
      <c r="Q138" s="4"/>
      <c r="R138" s="4" t="s">
        <v>16</v>
      </c>
      <c r="S138" s="4"/>
      <c r="T138" s="4"/>
      <c r="V138" s="4"/>
      <c r="W138" s="4"/>
      <c r="X138" s="4"/>
      <c r="Y138" s="4"/>
      <c r="Z138" s="4"/>
      <c r="AA138" s="4"/>
    </row>
    <row r="139" spans="1:27">
      <c r="A139" s="6">
        <v>46032</v>
      </c>
      <c r="B139" s="10" t="s">
        <v>98</v>
      </c>
      <c r="C139" s="10" t="s">
        <v>136</v>
      </c>
      <c r="D139" s="65"/>
      <c r="E139" s="10" t="s">
        <v>140</v>
      </c>
      <c r="F139" s="11" t="s">
        <v>22</v>
      </c>
      <c r="G139" s="30">
        <v>4.4000000000000004</v>
      </c>
      <c r="H139" s="30">
        <v>4.47</v>
      </c>
      <c r="I139" s="47">
        <v>326</v>
      </c>
      <c r="J139" s="13"/>
      <c r="K139" s="14">
        <f t="shared" si="0"/>
        <v>0</v>
      </c>
      <c r="L139" s="13"/>
      <c r="M139" s="13"/>
      <c r="N139" s="15"/>
      <c r="O139" s="4"/>
      <c r="P139" s="4"/>
      <c r="Q139" s="4"/>
      <c r="R139" s="4" t="s">
        <v>16</v>
      </c>
      <c r="S139" s="4"/>
      <c r="T139" s="4"/>
      <c r="V139" s="4"/>
      <c r="W139" s="4"/>
      <c r="X139" s="4"/>
      <c r="Y139" s="4"/>
      <c r="Z139" s="4"/>
      <c r="AA139" s="4"/>
    </row>
    <row r="140" spans="1:27">
      <c r="A140" s="6">
        <v>46032</v>
      </c>
      <c r="B140" s="28" t="s">
        <v>108</v>
      </c>
      <c r="C140" s="10" t="s">
        <v>169</v>
      </c>
      <c r="D140" s="65"/>
      <c r="E140" s="10" t="s">
        <v>170</v>
      </c>
      <c r="F140" s="16" t="s">
        <v>26</v>
      </c>
      <c r="G140" s="30">
        <v>4.4000000000000004</v>
      </c>
      <c r="H140" s="30">
        <v>4.4400000000000004</v>
      </c>
      <c r="I140" s="47">
        <v>675</v>
      </c>
      <c r="J140" s="13"/>
      <c r="K140" s="14">
        <f t="shared" si="0"/>
        <v>2.1</v>
      </c>
      <c r="L140" s="13">
        <v>126</v>
      </c>
      <c r="M140" s="13"/>
      <c r="N140" s="15"/>
      <c r="O140" s="4"/>
      <c r="P140" s="4"/>
      <c r="Q140" s="4"/>
      <c r="R140" s="4" t="s">
        <v>16</v>
      </c>
      <c r="S140" s="4"/>
      <c r="T140" s="4"/>
      <c r="V140" s="4"/>
      <c r="W140" s="4"/>
      <c r="X140" s="4"/>
      <c r="Y140" s="4"/>
      <c r="Z140" s="4"/>
      <c r="AA140" s="4"/>
    </row>
    <row r="141" spans="1:27">
      <c r="A141" s="6">
        <v>46032</v>
      </c>
      <c r="B141" s="26" t="s">
        <v>58</v>
      </c>
      <c r="C141" s="10" t="s">
        <v>153</v>
      </c>
      <c r="D141" s="65"/>
      <c r="E141" s="10" t="s">
        <v>115</v>
      </c>
      <c r="F141" s="16" t="s">
        <v>26</v>
      </c>
      <c r="G141" s="30">
        <v>4.33</v>
      </c>
      <c r="H141" s="30">
        <v>4.3600000000000003</v>
      </c>
      <c r="I141" s="47">
        <v>223</v>
      </c>
      <c r="J141" s="13"/>
      <c r="K141" s="14">
        <f t="shared" si="0"/>
        <v>1.7</v>
      </c>
      <c r="L141" s="13">
        <v>102</v>
      </c>
      <c r="M141" s="13"/>
      <c r="N141" s="15"/>
      <c r="O141" s="4"/>
      <c r="P141" s="4"/>
      <c r="Q141" s="4"/>
      <c r="R141" s="4" t="s">
        <v>16</v>
      </c>
      <c r="S141" s="4"/>
      <c r="T141" s="4"/>
      <c r="V141" s="4"/>
      <c r="W141" s="4"/>
      <c r="X141" s="4"/>
      <c r="Y141" s="4"/>
      <c r="Z141" s="4"/>
      <c r="AA141" s="4"/>
    </row>
    <row r="142" spans="1:27">
      <c r="A142" s="6">
        <v>46032</v>
      </c>
      <c r="B142" s="26" t="s">
        <v>47</v>
      </c>
      <c r="C142" s="10" t="s">
        <v>138</v>
      </c>
      <c r="D142" s="65"/>
      <c r="E142" s="10" t="s">
        <v>117</v>
      </c>
      <c r="F142" s="16" t="s">
        <v>26</v>
      </c>
      <c r="G142" s="30">
        <v>4.63</v>
      </c>
      <c r="H142" s="30">
        <v>4.67</v>
      </c>
      <c r="I142" s="47">
        <v>235</v>
      </c>
      <c r="J142" s="13"/>
      <c r="K142" s="14">
        <f t="shared" si="0"/>
        <v>2.4166666666666665</v>
      </c>
      <c r="L142" s="13">
        <v>145</v>
      </c>
      <c r="M142" s="13"/>
      <c r="N142" s="15"/>
      <c r="O142" s="4"/>
      <c r="P142" s="4"/>
      <c r="Q142" s="4"/>
      <c r="R142" s="4" t="s">
        <v>16</v>
      </c>
      <c r="S142" s="4"/>
      <c r="T142" s="4"/>
      <c r="V142" s="4"/>
      <c r="W142" s="4"/>
      <c r="X142" s="4"/>
      <c r="Y142" s="4"/>
      <c r="Z142" s="4"/>
      <c r="AA142" s="4"/>
    </row>
    <row r="143" spans="1:27">
      <c r="A143" s="6">
        <v>46032</v>
      </c>
      <c r="B143" s="10" t="s">
        <v>19</v>
      </c>
      <c r="C143" s="10" t="s">
        <v>64</v>
      </c>
      <c r="D143" s="65"/>
      <c r="E143" s="10" t="s">
        <v>57</v>
      </c>
      <c r="F143" s="16" t="s">
        <v>26</v>
      </c>
      <c r="G143" s="30">
        <v>3.98</v>
      </c>
      <c r="H143" s="30">
        <v>4.03</v>
      </c>
      <c r="I143" s="47">
        <v>256</v>
      </c>
      <c r="J143" s="13"/>
      <c r="K143" s="14">
        <f t="shared" si="0"/>
        <v>1.9166666666666667</v>
      </c>
      <c r="L143" s="13">
        <v>115</v>
      </c>
      <c r="M143" s="13"/>
      <c r="N143" s="15"/>
      <c r="O143" s="4"/>
      <c r="P143" s="4"/>
      <c r="Q143" s="4"/>
      <c r="R143" s="4" t="s">
        <v>16</v>
      </c>
      <c r="S143" s="4"/>
      <c r="T143" s="4"/>
      <c r="V143" s="4"/>
      <c r="W143" s="4"/>
      <c r="X143" s="4"/>
      <c r="Y143" s="4"/>
      <c r="Z143" s="4"/>
      <c r="AA143" s="4"/>
    </row>
    <row r="144" spans="1:27">
      <c r="A144" s="6">
        <v>46032</v>
      </c>
      <c r="B144" s="10" t="s">
        <v>171</v>
      </c>
      <c r="C144" s="10" t="s">
        <v>44</v>
      </c>
      <c r="D144" s="65"/>
      <c r="E144" s="10" t="s">
        <v>118</v>
      </c>
      <c r="F144" s="16" t="s">
        <v>26</v>
      </c>
      <c r="G144" s="30">
        <v>4.5599999999999996</v>
      </c>
      <c r="H144" s="30">
        <v>4.57</v>
      </c>
      <c r="I144" s="47">
        <v>515</v>
      </c>
      <c r="J144" s="13"/>
      <c r="K144" s="14">
        <f t="shared" si="0"/>
        <v>0</v>
      </c>
      <c r="L144" s="66"/>
      <c r="M144" s="15">
        <v>649</v>
      </c>
      <c r="N144" s="15">
        <v>564</v>
      </c>
      <c r="O144" s="4"/>
      <c r="P144" s="59">
        <f t="shared" ref="P144:P146" si="3">N144/M144</f>
        <v>0.86902927580893685</v>
      </c>
      <c r="Q144" s="4"/>
      <c r="R144" s="4" t="s">
        <v>16</v>
      </c>
      <c r="S144" s="4"/>
      <c r="T144" s="4"/>
      <c r="V144" s="4"/>
      <c r="W144" s="4"/>
      <c r="X144" s="4"/>
      <c r="Y144" s="4"/>
      <c r="Z144" s="4"/>
      <c r="AA144" s="4"/>
    </row>
    <row r="145" spans="1:27">
      <c r="A145" s="6">
        <v>45667</v>
      </c>
      <c r="B145" s="10" t="s">
        <v>33</v>
      </c>
      <c r="C145" s="10" t="s">
        <v>44</v>
      </c>
      <c r="D145" s="65"/>
      <c r="E145" s="10" t="s">
        <v>32</v>
      </c>
      <c r="F145" s="16" t="s">
        <v>26</v>
      </c>
      <c r="G145" s="30">
        <v>4.49</v>
      </c>
      <c r="H145" s="30">
        <v>4.55</v>
      </c>
      <c r="I145" s="47">
        <v>136</v>
      </c>
      <c r="J145" s="13"/>
      <c r="K145" s="14">
        <f t="shared" si="0"/>
        <v>2.8833333333333333</v>
      </c>
      <c r="L145" s="13">
        <v>173</v>
      </c>
      <c r="M145" s="13">
        <v>970</v>
      </c>
      <c r="N145" s="15">
        <v>915</v>
      </c>
      <c r="O145" s="4"/>
      <c r="P145" s="59">
        <f t="shared" si="3"/>
        <v>0.94329896907216493</v>
      </c>
      <c r="Q145" s="4"/>
      <c r="R145" s="4" t="s">
        <v>16</v>
      </c>
      <c r="S145" s="4"/>
      <c r="T145" s="4"/>
      <c r="V145" s="4"/>
      <c r="W145" s="4"/>
      <c r="X145" s="4"/>
      <c r="Y145" s="4"/>
      <c r="Z145" s="4"/>
      <c r="AA145" s="4"/>
    </row>
    <row r="146" spans="1:27">
      <c r="A146" s="6">
        <v>46032</v>
      </c>
      <c r="B146" s="26" t="s">
        <v>47</v>
      </c>
      <c r="C146" s="10" t="s">
        <v>48</v>
      </c>
      <c r="D146" s="65"/>
      <c r="E146" s="10" t="s">
        <v>133</v>
      </c>
      <c r="F146" s="11" t="s">
        <v>22</v>
      </c>
      <c r="G146" s="30">
        <v>4.18</v>
      </c>
      <c r="H146" s="30">
        <v>4.21</v>
      </c>
      <c r="I146" s="47">
        <v>650</v>
      </c>
      <c r="J146" s="13"/>
      <c r="K146" s="14">
        <f t="shared" si="0"/>
        <v>2</v>
      </c>
      <c r="L146" s="13">
        <v>120</v>
      </c>
      <c r="M146" s="13">
        <v>1269</v>
      </c>
      <c r="N146" s="15">
        <v>1117</v>
      </c>
      <c r="O146" s="4"/>
      <c r="P146" s="59">
        <f t="shared" si="3"/>
        <v>0.88022064617809304</v>
      </c>
      <c r="Q146" s="4"/>
      <c r="R146" s="4" t="s">
        <v>16</v>
      </c>
      <c r="S146" s="4"/>
      <c r="T146" s="4"/>
      <c r="V146" s="4"/>
      <c r="W146" s="4"/>
      <c r="X146" s="4"/>
      <c r="Y146" s="4"/>
      <c r="Z146" s="4"/>
      <c r="AA146" s="4"/>
    </row>
    <row r="147" spans="1:27">
      <c r="A147" s="6">
        <v>46026</v>
      </c>
      <c r="B147" s="10" t="s">
        <v>19</v>
      </c>
      <c r="C147" s="10" t="s">
        <v>172</v>
      </c>
      <c r="D147" s="65"/>
      <c r="E147" s="10" t="s">
        <v>140</v>
      </c>
      <c r="F147" s="16" t="s">
        <v>26</v>
      </c>
      <c r="G147" s="30">
        <v>4.55</v>
      </c>
      <c r="H147" s="30">
        <v>4.57</v>
      </c>
      <c r="I147" s="47">
        <v>241</v>
      </c>
      <c r="J147" s="13"/>
      <c r="K147" s="14">
        <f t="shared" si="0"/>
        <v>2.5</v>
      </c>
      <c r="L147" s="13">
        <v>150</v>
      </c>
      <c r="M147" s="13"/>
      <c r="N147" s="15"/>
      <c r="O147" s="4"/>
      <c r="P147" s="4"/>
      <c r="Q147" s="4"/>
      <c r="R147" s="4" t="s">
        <v>16</v>
      </c>
      <c r="S147" s="4"/>
      <c r="T147" s="4"/>
      <c r="V147" s="4"/>
      <c r="W147" s="4"/>
      <c r="X147" s="4"/>
      <c r="Y147" s="4"/>
      <c r="Z147" s="4"/>
      <c r="AA147" s="4"/>
    </row>
    <row r="148" spans="1:27">
      <c r="A148" s="6">
        <v>46026</v>
      </c>
      <c r="B148" s="10" t="s">
        <v>141</v>
      </c>
      <c r="C148" s="10" t="s">
        <v>173</v>
      </c>
      <c r="D148" s="65" t="s">
        <v>174</v>
      </c>
      <c r="E148" s="10" t="s">
        <v>21</v>
      </c>
      <c r="F148" s="35" t="s">
        <v>22</v>
      </c>
      <c r="G148" s="36">
        <v>4.38</v>
      </c>
      <c r="H148" s="36">
        <v>4.43</v>
      </c>
      <c r="I148" s="47">
        <v>186</v>
      </c>
      <c r="J148" s="13"/>
      <c r="K148" s="14">
        <f t="shared" si="0"/>
        <v>0</v>
      </c>
      <c r="L148" s="13"/>
      <c r="M148" s="13"/>
      <c r="N148" s="15"/>
      <c r="O148" s="4"/>
      <c r="P148" s="4"/>
      <c r="Q148" s="4"/>
      <c r="R148" s="4" t="s">
        <v>16</v>
      </c>
      <c r="S148" s="4"/>
      <c r="T148" s="4"/>
      <c r="V148" s="4"/>
      <c r="W148" s="4"/>
      <c r="X148" s="4"/>
      <c r="Y148" s="4"/>
      <c r="Z148" s="4"/>
      <c r="AA148" s="4"/>
    </row>
    <row r="149" spans="1:27">
      <c r="A149" s="6">
        <v>46026</v>
      </c>
      <c r="B149" s="26" t="s">
        <v>27</v>
      </c>
      <c r="C149" s="10" t="s">
        <v>175</v>
      </c>
      <c r="D149" s="65"/>
      <c r="E149" s="10" t="s">
        <v>127</v>
      </c>
      <c r="F149" s="40" t="s">
        <v>26</v>
      </c>
      <c r="G149" s="41">
        <v>4.54</v>
      </c>
      <c r="H149" s="41">
        <v>4.57</v>
      </c>
      <c r="I149" s="47">
        <v>302</v>
      </c>
      <c r="J149" s="13"/>
      <c r="K149" s="14">
        <f t="shared" si="0"/>
        <v>2</v>
      </c>
      <c r="L149" s="13">
        <v>120</v>
      </c>
      <c r="M149" s="13"/>
      <c r="N149" s="15"/>
      <c r="O149" s="4"/>
      <c r="P149" s="4"/>
      <c r="Q149" s="4"/>
      <c r="R149" s="4" t="s">
        <v>16</v>
      </c>
      <c r="S149" s="4"/>
      <c r="T149" s="4"/>
      <c r="V149" s="4"/>
      <c r="W149" s="4"/>
      <c r="X149" s="4"/>
      <c r="Y149" s="4"/>
      <c r="Z149" s="4"/>
      <c r="AA149" s="4"/>
    </row>
    <row r="150" spans="1:27">
      <c r="A150" s="6">
        <v>46026</v>
      </c>
      <c r="B150" s="58" t="s">
        <v>68</v>
      </c>
      <c r="C150" s="10" t="s">
        <v>34</v>
      </c>
      <c r="D150" s="65"/>
      <c r="E150" s="10" t="s">
        <v>176</v>
      </c>
      <c r="F150" s="40" t="s">
        <v>26</v>
      </c>
      <c r="G150" s="41">
        <v>4.6500000000000004</v>
      </c>
      <c r="H150" s="41">
        <v>4.68</v>
      </c>
      <c r="I150" s="47">
        <v>364</v>
      </c>
      <c r="J150" s="13"/>
      <c r="K150" s="14">
        <f t="shared" si="0"/>
        <v>0</v>
      </c>
      <c r="L150" s="13"/>
      <c r="M150" s="13"/>
      <c r="N150" s="15"/>
      <c r="O150" s="4"/>
      <c r="P150" s="4"/>
      <c r="Q150" s="4"/>
      <c r="R150" s="4" t="s">
        <v>16</v>
      </c>
      <c r="S150" s="4"/>
      <c r="T150" s="4"/>
      <c r="V150" s="4"/>
      <c r="W150" s="4"/>
      <c r="X150" s="4"/>
      <c r="Y150" s="4"/>
      <c r="Z150" s="4"/>
      <c r="AA150" s="4"/>
    </row>
    <row r="151" spans="1:27">
      <c r="A151" s="6">
        <v>46026</v>
      </c>
      <c r="B151" s="10" t="s">
        <v>168</v>
      </c>
      <c r="C151" s="10" t="s">
        <v>84</v>
      </c>
      <c r="D151" s="65"/>
      <c r="E151" s="10" t="s">
        <v>57</v>
      </c>
      <c r="F151" s="16" t="s">
        <v>26</v>
      </c>
      <c r="G151" s="30">
        <v>4.38</v>
      </c>
      <c r="H151" s="30">
        <v>4.3099999999999996</v>
      </c>
      <c r="I151" s="47">
        <v>916</v>
      </c>
      <c r="J151" s="13"/>
      <c r="K151" s="14">
        <f t="shared" si="0"/>
        <v>0</v>
      </c>
      <c r="L151" s="13"/>
      <c r="M151" s="13"/>
      <c r="N151" s="15"/>
      <c r="O151" s="4"/>
      <c r="P151" s="4"/>
      <c r="Q151" s="4"/>
      <c r="R151" s="4" t="s">
        <v>16</v>
      </c>
      <c r="S151" s="4"/>
      <c r="T151" s="4"/>
      <c r="V151" s="4"/>
      <c r="W151" s="4"/>
      <c r="X151" s="4"/>
      <c r="Y151" s="4"/>
      <c r="Z151" s="4"/>
      <c r="AA151" s="4"/>
    </row>
    <row r="152" spans="1:27">
      <c r="A152" s="6">
        <v>46026</v>
      </c>
      <c r="B152" s="58" t="s">
        <v>81</v>
      </c>
      <c r="C152" s="10" t="s">
        <v>82</v>
      </c>
      <c r="D152" s="67" t="s">
        <v>177</v>
      </c>
      <c r="E152" s="10" t="s">
        <v>118</v>
      </c>
      <c r="F152" s="11" t="s">
        <v>22</v>
      </c>
      <c r="G152" s="30">
        <v>4.5999999999999996</v>
      </c>
      <c r="H152" s="30">
        <v>4.63</v>
      </c>
      <c r="I152" s="47">
        <v>343</v>
      </c>
      <c r="J152" s="13"/>
      <c r="K152" s="14">
        <f t="shared" si="0"/>
        <v>0</v>
      </c>
      <c r="L152" s="13"/>
      <c r="M152" s="13">
        <v>628</v>
      </c>
      <c r="N152" s="15">
        <v>603</v>
      </c>
      <c r="O152" s="4"/>
      <c r="P152" s="59">
        <f>N152/M152</f>
        <v>0.96019108280254772</v>
      </c>
      <c r="Q152" s="4"/>
      <c r="R152" s="4" t="s">
        <v>16</v>
      </c>
      <c r="S152" s="4"/>
      <c r="T152" s="4"/>
      <c r="V152" s="4"/>
      <c r="W152" s="4"/>
      <c r="X152" s="4"/>
      <c r="Y152" s="4"/>
      <c r="Z152" s="4"/>
      <c r="AA152" s="4"/>
    </row>
    <row r="153" spans="1:27">
      <c r="A153" s="6">
        <v>46026</v>
      </c>
      <c r="B153" s="10" t="s">
        <v>168</v>
      </c>
      <c r="C153" s="10" t="s">
        <v>84</v>
      </c>
      <c r="D153" s="65"/>
      <c r="E153" s="10" t="s">
        <v>32</v>
      </c>
      <c r="F153" s="16" t="s">
        <v>26</v>
      </c>
      <c r="G153" s="30">
        <v>4.38</v>
      </c>
      <c r="H153" s="30">
        <v>4.3099999999999996</v>
      </c>
      <c r="I153" s="47">
        <v>918</v>
      </c>
      <c r="J153" s="13"/>
      <c r="K153" s="14">
        <f t="shared" si="0"/>
        <v>0</v>
      </c>
      <c r="L153" s="13"/>
      <c r="M153" s="13">
        <v>1504</v>
      </c>
      <c r="N153" s="15"/>
      <c r="O153" s="13">
        <v>1504</v>
      </c>
      <c r="P153" s="59">
        <f>O153/M153</f>
        <v>1</v>
      </c>
      <c r="Q153" s="4"/>
      <c r="R153" s="4" t="s">
        <v>16</v>
      </c>
      <c r="S153" s="4"/>
      <c r="T153" s="4"/>
      <c r="V153" s="4"/>
      <c r="W153" s="4"/>
      <c r="X153" s="4"/>
      <c r="Y153" s="4"/>
      <c r="Z153" s="4"/>
      <c r="AA153" s="4"/>
    </row>
    <row r="154" spans="1:27">
      <c r="A154" s="6">
        <v>46026</v>
      </c>
      <c r="B154" s="58" t="s">
        <v>81</v>
      </c>
      <c r="C154" s="10" t="s">
        <v>110</v>
      </c>
      <c r="D154" s="67" t="s">
        <v>178</v>
      </c>
      <c r="E154" s="10" t="s">
        <v>133</v>
      </c>
      <c r="F154" s="11" t="s">
        <v>22</v>
      </c>
      <c r="G154" s="30">
        <v>4.55</v>
      </c>
      <c r="H154" s="30">
        <v>4.6399999999999997</v>
      </c>
      <c r="I154" s="47">
        <v>653</v>
      </c>
      <c r="J154" s="13"/>
      <c r="K154" s="14">
        <f t="shared" si="0"/>
        <v>0</v>
      </c>
      <c r="L154" s="13"/>
      <c r="M154" s="13">
        <v>1356</v>
      </c>
      <c r="N154" s="15">
        <v>1290</v>
      </c>
      <c r="O154" s="4"/>
      <c r="P154" s="59">
        <f>N154/M154</f>
        <v>0.95132743362831862</v>
      </c>
      <c r="Q154" s="4"/>
      <c r="R154" s="4" t="s">
        <v>16</v>
      </c>
      <c r="S154" s="4"/>
      <c r="T154" s="4"/>
      <c r="V154" s="4"/>
      <c r="W154" s="4"/>
      <c r="X154" s="4"/>
      <c r="Y154" s="4"/>
      <c r="Z154" s="4"/>
      <c r="AA154" s="4"/>
    </row>
    <row r="155" spans="1:27">
      <c r="A155" s="6">
        <v>45660</v>
      </c>
      <c r="B155" s="10" t="s">
        <v>33</v>
      </c>
      <c r="C155" s="10" t="s">
        <v>179</v>
      </c>
      <c r="D155" s="67" t="s">
        <v>180</v>
      </c>
      <c r="E155" s="10" t="s">
        <v>21</v>
      </c>
      <c r="F155" s="45" t="s">
        <v>22</v>
      </c>
      <c r="G155" s="41">
        <v>4.66</v>
      </c>
      <c r="H155" s="41">
        <v>4.68</v>
      </c>
      <c r="I155" s="47">
        <v>242</v>
      </c>
      <c r="J155" s="13"/>
      <c r="K155" s="14">
        <f t="shared" si="0"/>
        <v>0</v>
      </c>
      <c r="L155" s="13"/>
      <c r="M155" s="13"/>
      <c r="N155" s="15"/>
      <c r="O155" s="4"/>
      <c r="P155" s="4"/>
      <c r="Q155" s="4"/>
      <c r="R155" s="4" t="s">
        <v>16</v>
      </c>
      <c r="S155" s="4"/>
      <c r="T155" s="4"/>
      <c r="V155" s="4"/>
      <c r="W155" s="4"/>
      <c r="X155" s="4"/>
      <c r="Y155" s="4"/>
      <c r="Z155" s="4"/>
      <c r="AA155" s="4"/>
    </row>
    <row r="156" spans="1:27">
      <c r="A156" s="6">
        <v>46025</v>
      </c>
      <c r="B156" s="10" t="s">
        <v>155</v>
      </c>
      <c r="C156" s="10" t="s">
        <v>156</v>
      </c>
      <c r="D156" s="65"/>
      <c r="E156" s="10" t="s">
        <v>181</v>
      </c>
      <c r="F156" s="40" t="s">
        <v>26</v>
      </c>
      <c r="G156" s="41">
        <v>4.45</v>
      </c>
      <c r="H156" s="41">
        <v>4.4800000000000004</v>
      </c>
      <c r="I156" s="47">
        <v>591</v>
      </c>
      <c r="J156" s="13"/>
      <c r="K156" s="14">
        <f t="shared" si="0"/>
        <v>2</v>
      </c>
      <c r="L156" s="13">
        <v>120</v>
      </c>
      <c r="M156" s="13"/>
      <c r="N156" s="15"/>
      <c r="O156" s="4"/>
      <c r="P156" s="4"/>
      <c r="Q156" s="4"/>
      <c r="R156" s="4" t="s">
        <v>16</v>
      </c>
      <c r="S156" s="4"/>
      <c r="T156" s="4"/>
      <c r="V156" s="4"/>
      <c r="W156" s="4"/>
      <c r="X156" s="4"/>
      <c r="Y156" s="4"/>
      <c r="Z156" s="4"/>
      <c r="AA156" s="4"/>
    </row>
    <row r="157" spans="1:27">
      <c r="A157" s="6">
        <v>46025</v>
      </c>
      <c r="B157" s="61" t="s">
        <v>68</v>
      </c>
      <c r="C157" s="10" t="s">
        <v>62</v>
      </c>
      <c r="D157" s="65"/>
      <c r="E157" s="10" t="s">
        <v>176</v>
      </c>
      <c r="F157" s="43" t="s">
        <v>182</v>
      </c>
      <c r="G157" s="36">
        <v>4.5599999999999996</v>
      </c>
      <c r="H157" s="36">
        <v>4.6100000000000003</v>
      </c>
      <c r="I157" s="47">
        <v>484</v>
      </c>
      <c r="J157" s="13"/>
      <c r="K157" s="14">
        <f t="shared" si="0"/>
        <v>2</v>
      </c>
      <c r="L157" s="13">
        <v>120</v>
      </c>
      <c r="M157" s="13"/>
      <c r="N157" s="15"/>
      <c r="O157" s="4"/>
      <c r="P157" s="4"/>
      <c r="Q157" s="4"/>
      <c r="R157" s="4" t="s">
        <v>16</v>
      </c>
      <c r="S157" s="4"/>
      <c r="T157" s="4"/>
      <c r="V157" s="4"/>
      <c r="W157" s="4"/>
      <c r="X157" s="4"/>
      <c r="Y157" s="4"/>
      <c r="Z157" s="4"/>
      <c r="AA157" s="4"/>
    </row>
    <row r="158" spans="1:27">
      <c r="A158" s="6">
        <v>46025</v>
      </c>
      <c r="B158" s="10" t="s">
        <v>168</v>
      </c>
      <c r="C158" s="10" t="s">
        <v>183</v>
      </c>
      <c r="D158" s="65"/>
      <c r="E158" s="10" t="s">
        <v>57</v>
      </c>
      <c r="F158" s="40" t="s">
        <v>26</v>
      </c>
      <c r="G158" s="41">
        <v>4.43</v>
      </c>
      <c r="H158" s="41">
        <v>4.4400000000000004</v>
      </c>
      <c r="I158" s="47">
        <v>1050</v>
      </c>
      <c r="J158" s="13"/>
      <c r="K158" s="14">
        <f t="shared" si="0"/>
        <v>0</v>
      </c>
      <c r="L158" s="13"/>
      <c r="M158" s="13"/>
      <c r="N158" s="15"/>
      <c r="O158" s="4"/>
      <c r="P158" s="4"/>
      <c r="Q158" s="4"/>
      <c r="R158" s="4" t="s">
        <v>16</v>
      </c>
      <c r="S158" s="4"/>
      <c r="T158" s="4"/>
      <c r="V158" s="4"/>
      <c r="W158" s="4"/>
      <c r="X158" s="4"/>
      <c r="Y158" s="4"/>
      <c r="Z158" s="4"/>
      <c r="AA158" s="4"/>
    </row>
    <row r="159" spans="1:27">
      <c r="A159" s="6">
        <v>46025</v>
      </c>
      <c r="B159" s="58" t="s">
        <v>81</v>
      </c>
      <c r="C159" s="10" t="s">
        <v>94</v>
      </c>
      <c r="D159" s="67" t="s">
        <v>184</v>
      </c>
      <c r="E159" s="10" t="s">
        <v>118</v>
      </c>
      <c r="F159" s="35" t="s">
        <v>22</v>
      </c>
      <c r="G159" s="36">
        <v>4.6399999999999997</v>
      </c>
      <c r="H159" s="36">
        <v>4.7</v>
      </c>
      <c r="I159" s="47">
        <v>362</v>
      </c>
      <c r="J159" s="13"/>
      <c r="K159" s="14">
        <f t="shared" si="0"/>
        <v>0</v>
      </c>
      <c r="L159" s="13"/>
      <c r="M159" s="13">
        <v>711</v>
      </c>
      <c r="N159" s="15">
        <v>641</v>
      </c>
      <c r="O159" s="4"/>
      <c r="P159" s="59">
        <f t="shared" ref="P159:P161" si="4">N159/M159</f>
        <v>0.90154711673699017</v>
      </c>
      <c r="Q159" s="4"/>
      <c r="R159" s="4" t="s">
        <v>16</v>
      </c>
      <c r="S159" s="4"/>
      <c r="T159" s="4"/>
      <c r="V159" s="4"/>
      <c r="W159" s="4"/>
      <c r="X159" s="4"/>
      <c r="Y159" s="4"/>
      <c r="Z159" s="4"/>
      <c r="AA159" s="4"/>
    </row>
    <row r="160" spans="1:27">
      <c r="A160" s="6">
        <v>46025</v>
      </c>
      <c r="B160" s="10" t="s">
        <v>168</v>
      </c>
      <c r="C160" s="10" t="s">
        <v>183</v>
      </c>
      <c r="D160" s="65"/>
      <c r="E160" s="10" t="s">
        <v>32</v>
      </c>
      <c r="F160" s="40" t="s">
        <v>26</v>
      </c>
      <c r="G160" s="41">
        <v>4.43</v>
      </c>
      <c r="H160" s="41">
        <v>4.4400000000000004</v>
      </c>
      <c r="I160" s="47">
        <v>1050</v>
      </c>
      <c r="J160" s="13"/>
      <c r="K160" s="14">
        <f t="shared" si="0"/>
        <v>0</v>
      </c>
      <c r="L160" s="13"/>
      <c r="M160" s="13">
        <v>1781</v>
      </c>
      <c r="N160" s="15">
        <v>1673</v>
      </c>
      <c r="O160" s="4"/>
      <c r="P160" s="59">
        <f t="shared" si="4"/>
        <v>0.93935991016282983</v>
      </c>
      <c r="Q160" s="4"/>
      <c r="R160" s="4" t="s">
        <v>16</v>
      </c>
      <c r="S160" s="4"/>
      <c r="T160" s="4"/>
      <c r="V160" s="4"/>
      <c r="W160" s="4"/>
      <c r="X160" s="4"/>
      <c r="Y160" s="4"/>
      <c r="Z160" s="4"/>
      <c r="AA160" s="4"/>
    </row>
    <row r="161" spans="1:27">
      <c r="A161" s="6">
        <v>46025</v>
      </c>
      <c r="B161" s="58" t="s">
        <v>81</v>
      </c>
      <c r="C161" s="10" t="s">
        <v>123</v>
      </c>
      <c r="D161" s="67" t="s">
        <v>185</v>
      </c>
      <c r="E161" s="10" t="s">
        <v>133</v>
      </c>
      <c r="F161" s="35" t="s">
        <v>22</v>
      </c>
      <c r="G161" s="36">
        <v>4.57</v>
      </c>
      <c r="H161" s="36">
        <v>4.68</v>
      </c>
      <c r="I161" s="47">
        <v>767</v>
      </c>
      <c r="J161" s="13"/>
      <c r="K161" s="14">
        <f t="shared" si="0"/>
        <v>0</v>
      </c>
      <c r="L161" s="13"/>
      <c r="M161" s="13">
        <v>1483</v>
      </c>
      <c r="N161" s="15">
        <v>1419</v>
      </c>
      <c r="O161" s="4"/>
      <c r="P161" s="59">
        <f t="shared" si="4"/>
        <v>0.95684423465947399</v>
      </c>
      <c r="Q161" s="4"/>
      <c r="R161" s="4" t="s">
        <v>16</v>
      </c>
      <c r="S161" s="4"/>
      <c r="T161" s="4"/>
      <c r="V161" s="4"/>
      <c r="W161" s="4"/>
      <c r="X161" s="4"/>
      <c r="Y161" s="4"/>
      <c r="Z161" s="4"/>
      <c r="AA161" s="4"/>
    </row>
    <row r="162" spans="1:27">
      <c r="A162" s="6">
        <v>46019</v>
      </c>
      <c r="B162" s="10" t="s">
        <v>98</v>
      </c>
      <c r="C162" s="10" t="s">
        <v>99</v>
      </c>
      <c r="D162" s="65" t="s">
        <v>186</v>
      </c>
      <c r="E162" s="10" t="s">
        <v>158</v>
      </c>
      <c r="F162" s="45" t="s">
        <v>22</v>
      </c>
      <c r="G162" s="41">
        <v>4.47</v>
      </c>
      <c r="H162" s="41">
        <v>4.42</v>
      </c>
      <c r="I162" s="50">
        <v>108</v>
      </c>
      <c r="J162" s="51"/>
      <c r="K162" s="52">
        <f t="shared" si="0"/>
        <v>0</v>
      </c>
      <c r="L162" s="51"/>
      <c r="M162" s="51"/>
      <c r="N162" s="53"/>
      <c r="O162" s="54"/>
      <c r="P162" s="54"/>
      <c r="Q162" s="54"/>
      <c r="R162" s="54" t="s">
        <v>16</v>
      </c>
      <c r="S162" s="54"/>
      <c r="T162" s="54"/>
      <c r="V162" s="4"/>
      <c r="W162" s="4"/>
      <c r="X162" s="4"/>
      <c r="Y162" s="4"/>
      <c r="Z162" s="4"/>
      <c r="AA162" s="4"/>
    </row>
    <row r="163" spans="1:27">
      <c r="A163" s="6">
        <v>46019</v>
      </c>
      <c r="B163" s="68" t="s">
        <v>151</v>
      </c>
      <c r="C163" s="26" t="s">
        <v>152</v>
      </c>
      <c r="D163" s="58"/>
      <c r="E163" s="10" t="s">
        <v>140</v>
      </c>
      <c r="F163" s="69" t="s">
        <v>187</v>
      </c>
      <c r="G163" s="36">
        <v>4.38</v>
      </c>
      <c r="H163" s="36">
        <v>4.42</v>
      </c>
      <c r="I163" s="70">
        <v>278</v>
      </c>
      <c r="J163" s="71"/>
      <c r="K163" s="72">
        <f t="shared" si="0"/>
        <v>2</v>
      </c>
      <c r="L163" s="71">
        <v>120</v>
      </c>
      <c r="M163" s="71"/>
      <c r="N163" s="63"/>
      <c r="O163" s="73"/>
      <c r="P163" s="73"/>
      <c r="Q163" s="73"/>
      <c r="R163" s="73" t="s">
        <v>16</v>
      </c>
      <c r="S163" s="73"/>
      <c r="T163" s="73"/>
      <c r="V163" s="4"/>
      <c r="W163" s="4"/>
      <c r="X163" s="4"/>
      <c r="Y163" s="4"/>
      <c r="Z163" s="4"/>
      <c r="AA163" s="4"/>
    </row>
    <row r="164" spans="1:27">
      <c r="A164" s="6">
        <v>46019</v>
      </c>
      <c r="B164" s="10" t="s">
        <v>33</v>
      </c>
      <c r="C164" s="28" t="s">
        <v>188</v>
      </c>
      <c r="D164" s="65" t="s">
        <v>189</v>
      </c>
      <c r="E164" s="10" t="s">
        <v>21</v>
      </c>
      <c r="F164" s="45" t="s">
        <v>22</v>
      </c>
      <c r="G164" s="41">
        <v>4.5199999999999996</v>
      </c>
      <c r="H164" s="53">
        <v>4.58</v>
      </c>
      <c r="I164" s="53">
        <v>224</v>
      </c>
      <c r="J164" s="51"/>
      <c r="K164" s="52">
        <f t="shared" si="0"/>
        <v>0</v>
      </c>
      <c r="L164" s="51"/>
      <c r="M164" s="51"/>
      <c r="N164" s="53"/>
      <c r="O164" s="54"/>
      <c r="P164" s="54"/>
      <c r="Q164" s="54"/>
      <c r="R164" s="54" t="s">
        <v>16</v>
      </c>
      <c r="S164" s="54"/>
      <c r="T164" s="54"/>
      <c r="V164" s="4"/>
      <c r="W164" s="4"/>
      <c r="X164" s="4"/>
      <c r="Y164" s="4"/>
      <c r="Z164" s="4"/>
      <c r="AA164" s="4"/>
    </row>
    <row r="165" spans="1:27">
      <c r="A165" s="6">
        <v>46019</v>
      </c>
      <c r="B165" s="10" t="s">
        <v>33</v>
      </c>
      <c r="C165" s="28" t="s">
        <v>179</v>
      </c>
      <c r="D165" s="65" t="s">
        <v>174</v>
      </c>
      <c r="E165" s="10" t="s">
        <v>127</v>
      </c>
      <c r="F165" s="35" t="s">
        <v>22</v>
      </c>
      <c r="G165" s="36">
        <v>4.3899999999999997</v>
      </c>
      <c r="H165" s="36">
        <v>4.45</v>
      </c>
      <c r="I165" s="70">
        <v>377</v>
      </c>
      <c r="J165" s="71"/>
      <c r="K165" s="72">
        <f t="shared" si="0"/>
        <v>0</v>
      </c>
      <c r="L165" s="71"/>
      <c r="M165" s="71"/>
      <c r="N165" s="63"/>
      <c r="O165" s="73"/>
      <c r="P165" s="73"/>
      <c r="Q165" s="73"/>
      <c r="R165" s="73" t="s">
        <v>16</v>
      </c>
      <c r="S165" s="73"/>
      <c r="T165" s="73"/>
      <c r="V165" s="4"/>
      <c r="W165" s="4"/>
      <c r="X165" s="4"/>
      <c r="Y165" s="4"/>
      <c r="Z165" s="4"/>
      <c r="AA165" s="4"/>
    </row>
    <row r="166" spans="1:27">
      <c r="A166" s="6">
        <v>46019</v>
      </c>
      <c r="B166" s="60" t="s">
        <v>77</v>
      </c>
      <c r="C166" s="26" t="s">
        <v>78</v>
      </c>
      <c r="E166" s="10" t="s">
        <v>176</v>
      </c>
      <c r="F166" s="74" t="s">
        <v>190</v>
      </c>
      <c r="G166" s="41">
        <v>4.7</v>
      </c>
      <c r="H166" s="53">
        <v>4.74</v>
      </c>
      <c r="I166" s="15">
        <v>618</v>
      </c>
      <c r="J166" s="13"/>
      <c r="K166" s="14">
        <f t="shared" si="0"/>
        <v>1.6666666666666667</v>
      </c>
      <c r="L166" s="13">
        <v>100</v>
      </c>
      <c r="M166" s="13"/>
      <c r="N166" s="15"/>
      <c r="O166" s="4"/>
      <c r="P166" s="4"/>
      <c r="Q166" s="4"/>
      <c r="R166" s="4" t="s">
        <v>16</v>
      </c>
      <c r="S166" s="4"/>
      <c r="T166" s="4"/>
      <c r="V166" s="4"/>
      <c r="W166" s="4"/>
      <c r="X166" s="4"/>
      <c r="Y166" s="4"/>
      <c r="Z166" s="4"/>
      <c r="AA166" s="4"/>
    </row>
    <row r="167" spans="1:27">
      <c r="A167" s="6">
        <v>46019</v>
      </c>
      <c r="B167" s="10" t="s">
        <v>33</v>
      </c>
      <c r="C167" s="28" t="s">
        <v>65</v>
      </c>
      <c r="D167" s="65" t="s">
        <v>191</v>
      </c>
      <c r="E167" s="10" t="s">
        <v>57</v>
      </c>
      <c r="F167" s="35" t="s">
        <v>22</v>
      </c>
      <c r="G167" s="36">
        <v>4.3899999999999997</v>
      </c>
      <c r="H167" s="36">
        <v>4.42</v>
      </c>
      <c r="I167" s="47">
        <v>376</v>
      </c>
      <c r="J167" s="13"/>
      <c r="K167" s="14">
        <f t="shared" si="0"/>
        <v>0</v>
      </c>
      <c r="L167" s="13"/>
      <c r="M167" s="13"/>
      <c r="N167" s="15"/>
      <c r="O167" s="4"/>
      <c r="P167" s="4"/>
      <c r="Q167" s="4"/>
      <c r="R167" s="4" t="s">
        <v>16</v>
      </c>
      <c r="S167" s="4"/>
      <c r="T167" s="4"/>
      <c r="V167" s="4"/>
      <c r="W167" s="4"/>
      <c r="X167" s="4"/>
      <c r="Y167" s="4"/>
      <c r="Z167" s="4"/>
      <c r="AA167" s="4"/>
    </row>
    <row r="168" spans="1:27">
      <c r="A168" s="6">
        <v>46019</v>
      </c>
      <c r="B168" s="26" t="s">
        <v>47</v>
      </c>
      <c r="C168" s="26" t="s">
        <v>67</v>
      </c>
      <c r="D168" s="58"/>
      <c r="E168" s="10" t="s">
        <v>118</v>
      </c>
      <c r="F168" s="74" t="s">
        <v>26</v>
      </c>
      <c r="G168" s="41">
        <v>4.45</v>
      </c>
      <c r="H168" s="41">
        <v>4.47</v>
      </c>
      <c r="I168" s="47">
        <v>391</v>
      </c>
      <c r="J168" s="13"/>
      <c r="K168" s="14">
        <f t="shared" si="0"/>
        <v>2</v>
      </c>
      <c r="L168" s="13">
        <v>120</v>
      </c>
      <c r="M168" s="13">
        <v>680</v>
      </c>
      <c r="N168" s="15">
        <v>374</v>
      </c>
      <c r="O168" s="4"/>
      <c r="P168" s="59">
        <f>N168/M168</f>
        <v>0.55000000000000004</v>
      </c>
      <c r="Q168" s="4"/>
      <c r="R168" s="4" t="s">
        <v>16</v>
      </c>
      <c r="S168" s="4"/>
      <c r="T168" s="4"/>
      <c r="V168" s="4"/>
      <c r="W168" s="4"/>
      <c r="X168" s="4"/>
      <c r="Y168" s="4"/>
      <c r="Z168" s="4"/>
      <c r="AA168" s="4"/>
    </row>
    <row r="169" spans="1:27">
      <c r="A169" s="6">
        <v>46019</v>
      </c>
      <c r="B169" s="26" t="s">
        <v>47</v>
      </c>
      <c r="C169" s="26" t="s">
        <v>48</v>
      </c>
      <c r="D169" s="58"/>
      <c r="E169" s="10" t="s">
        <v>32</v>
      </c>
      <c r="F169" s="69" t="s">
        <v>26</v>
      </c>
      <c r="G169" s="36">
        <v>4.33</v>
      </c>
      <c r="H169" s="36">
        <v>4.3600000000000003</v>
      </c>
      <c r="I169" s="47">
        <v>463</v>
      </c>
      <c r="J169" s="13"/>
      <c r="K169" s="14">
        <f t="shared" si="0"/>
        <v>2</v>
      </c>
      <c r="L169" s="13">
        <v>120</v>
      </c>
      <c r="M169" s="13">
        <v>988</v>
      </c>
      <c r="N169" s="15"/>
      <c r="O169" s="13">
        <v>988</v>
      </c>
      <c r="P169" s="59">
        <f>O169/M169</f>
        <v>1</v>
      </c>
      <c r="Q169" s="4"/>
      <c r="R169" s="4" t="s">
        <v>16</v>
      </c>
      <c r="S169" s="4"/>
      <c r="T169" s="4"/>
      <c r="V169" s="4"/>
      <c r="W169" s="4"/>
      <c r="X169" s="4"/>
      <c r="Y169" s="4"/>
      <c r="Z169" s="4"/>
      <c r="AA169" s="4"/>
    </row>
    <row r="170" spans="1:27">
      <c r="A170" s="6">
        <v>46018</v>
      </c>
      <c r="B170" s="10" t="s">
        <v>98</v>
      </c>
      <c r="C170" s="10" t="s">
        <v>112</v>
      </c>
      <c r="D170" s="65" t="s">
        <v>192</v>
      </c>
      <c r="E170" s="10" t="s">
        <v>158</v>
      </c>
      <c r="F170" s="45" t="s">
        <v>22</v>
      </c>
      <c r="G170" s="41">
        <v>4.43</v>
      </c>
      <c r="H170" s="41">
        <v>4.5</v>
      </c>
      <c r="I170" s="47">
        <v>109</v>
      </c>
      <c r="J170" s="13"/>
      <c r="K170" s="14">
        <f t="shared" si="0"/>
        <v>0</v>
      </c>
      <c r="L170" s="13"/>
      <c r="M170" s="13"/>
      <c r="N170" s="15"/>
      <c r="O170" s="4"/>
      <c r="P170" s="4"/>
      <c r="Q170" s="4"/>
      <c r="R170" s="4" t="s">
        <v>16</v>
      </c>
      <c r="S170" s="4"/>
      <c r="T170" s="4"/>
      <c r="V170" s="4"/>
      <c r="W170" s="4"/>
      <c r="X170" s="4"/>
      <c r="Y170" s="4"/>
      <c r="Z170" s="4"/>
      <c r="AA170" s="4"/>
    </row>
    <row r="171" spans="1:27">
      <c r="A171" s="6">
        <v>46018</v>
      </c>
      <c r="B171" s="26" t="s">
        <v>47</v>
      </c>
      <c r="C171" s="26" t="s">
        <v>193</v>
      </c>
      <c r="D171" s="58"/>
      <c r="E171" s="10" t="s">
        <v>140</v>
      </c>
      <c r="F171" s="69" t="s">
        <v>26</v>
      </c>
      <c r="G171" s="36">
        <v>4.42</v>
      </c>
      <c r="H171" s="36">
        <v>4.55</v>
      </c>
      <c r="I171" s="47">
        <v>240</v>
      </c>
      <c r="J171" s="13"/>
      <c r="K171" s="14">
        <f t="shared" si="0"/>
        <v>1.8333333333333333</v>
      </c>
      <c r="L171" s="13">
        <v>110</v>
      </c>
      <c r="M171" s="13"/>
      <c r="N171" s="15"/>
      <c r="O171" s="4"/>
      <c r="P171" s="4"/>
      <c r="Q171" s="4"/>
      <c r="R171" s="4" t="s">
        <v>16</v>
      </c>
      <c r="S171" s="4"/>
      <c r="T171" s="4"/>
      <c r="V171" s="4"/>
      <c r="W171" s="4"/>
      <c r="X171" s="4"/>
      <c r="Y171" s="4"/>
      <c r="Z171" s="4"/>
      <c r="AA171" s="4"/>
    </row>
    <row r="172" spans="1:27">
      <c r="A172" s="6">
        <v>46018</v>
      </c>
      <c r="B172" s="10" t="s">
        <v>23</v>
      </c>
      <c r="C172" s="7" t="s">
        <v>194</v>
      </c>
      <c r="D172" s="58"/>
      <c r="E172" s="10" t="s">
        <v>21</v>
      </c>
      <c r="F172" s="74" t="s">
        <v>26</v>
      </c>
      <c r="G172" s="41">
        <v>4.5599999999999996</v>
      </c>
      <c r="H172" s="41">
        <v>4.5999999999999996</v>
      </c>
      <c r="I172" s="47">
        <v>259</v>
      </c>
      <c r="J172" s="13"/>
      <c r="K172" s="14">
        <f t="shared" si="0"/>
        <v>2.5666666666666669</v>
      </c>
      <c r="L172" s="13">
        <v>154</v>
      </c>
      <c r="M172" s="13"/>
      <c r="N172" s="15"/>
      <c r="O172" s="4"/>
      <c r="P172" s="4"/>
      <c r="Q172" s="4"/>
      <c r="R172" s="4" t="s">
        <v>16</v>
      </c>
      <c r="S172" s="4"/>
      <c r="T172" s="4"/>
      <c r="V172" s="4"/>
      <c r="W172" s="4"/>
      <c r="X172" s="4"/>
      <c r="Y172" s="4"/>
      <c r="Z172" s="4"/>
      <c r="AA172" s="4"/>
    </row>
    <row r="173" spans="1:27">
      <c r="A173" s="6">
        <v>46018</v>
      </c>
      <c r="B173" s="10" t="s">
        <v>33</v>
      </c>
      <c r="C173" s="28" t="s">
        <v>188</v>
      </c>
      <c r="D173" s="65" t="s">
        <v>189</v>
      </c>
      <c r="E173" s="10" t="s">
        <v>127</v>
      </c>
      <c r="F173" s="35" t="s">
        <v>22</v>
      </c>
      <c r="G173" s="36">
        <v>4.4000000000000004</v>
      </c>
      <c r="H173" s="36">
        <v>4.47</v>
      </c>
      <c r="I173" s="47">
        <v>394</v>
      </c>
      <c r="J173" s="13"/>
      <c r="K173" s="14">
        <f t="shared" si="0"/>
        <v>0</v>
      </c>
      <c r="L173" s="13"/>
      <c r="M173" s="13"/>
      <c r="N173" s="15"/>
      <c r="O173" s="4"/>
      <c r="P173" s="4"/>
      <c r="Q173" s="4"/>
      <c r="R173" s="4" t="s">
        <v>16</v>
      </c>
      <c r="S173" s="4"/>
      <c r="T173" s="4"/>
      <c r="V173" s="4"/>
      <c r="W173" s="4"/>
      <c r="X173" s="4"/>
      <c r="Y173" s="4"/>
      <c r="Z173" s="4"/>
      <c r="AA173" s="4"/>
    </row>
    <row r="174" spans="1:27">
      <c r="A174" s="6">
        <v>46018</v>
      </c>
      <c r="B174" s="60" t="s">
        <v>77</v>
      </c>
      <c r="C174" s="9" t="s">
        <v>92</v>
      </c>
      <c r="D174" s="58"/>
      <c r="E174" s="10" t="s">
        <v>176</v>
      </c>
      <c r="F174" s="74" t="s">
        <v>26</v>
      </c>
      <c r="G174" s="41">
        <v>4.6100000000000003</v>
      </c>
      <c r="H174" s="41">
        <v>4.66</v>
      </c>
      <c r="I174" s="47">
        <v>653</v>
      </c>
      <c r="J174" s="13"/>
      <c r="K174" s="14">
        <f t="shared" si="0"/>
        <v>1.6166666666666667</v>
      </c>
      <c r="L174" s="13">
        <v>97</v>
      </c>
      <c r="M174" s="13"/>
      <c r="N174" s="15"/>
      <c r="O174" s="4"/>
      <c r="P174" s="4"/>
      <c r="Q174" s="4"/>
      <c r="R174" s="4" t="s">
        <v>16</v>
      </c>
      <c r="S174" s="4"/>
      <c r="T174" s="4"/>
      <c r="V174" s="4"/>
      <c r="W174" s="4"/>
      <c r="X174" s="4"/>
      <c r="Y174" s="4"/>
      <c r="Z174" s="4"/>
      <c r="AA174" s="4"/>
    </row>
    <row r="175" spans="1:27">
      <c r="A175" s="6">
        <v>46018</v>
      </c>
      <c r="B175" s="10" t="s">
        <v>98</v>
      </c>
      <c r="C175" s="28" t="s">
        <v>41</v>
      </c>
      <c r="D175" s="58"/>
      <c r="E175" s="10" t="s">
        <v>57</v>
      </c>
      <c r="F175" s="69" t="s">
        <v>26</v>
      </c>
      <c r="G175" s="36">
        <v>4.29</v>
      </c>
      <c r="H175" s="36">
        <v>4.3499999999999996</v>
      </c>
      <c r="I175" s="47">
        <v>377</v>
      </c>
      <c r="J175" s="13"/>
      <c r="K175" s="14">
        <f t="shared" si="0"/>
        <v>0</v>
      </c>
      <c r="L175" s="13"/>
      <c r="M175" s="13"/>
      <c r="N175" s="15"/>
      <c r="O175" s="4"/>
      <c r="P175" s="4"/>
      <c r="Q175" s="4"/>
      <c r="R175" s="4" t="s">
        <v>16</v>
      </c>
      <c r="S175" s="4"/>
      <c r="T175" s="4"/>
      <c r="V175" s="4"/>
      <c r="W175" s="4"/>
      <c r="X175" s="4"/>
      <c r="Y175" s="4"/>
      <c r="Z175" s="4"/>
      <c r="AA175" s="4"/>
    </row>
    <row r="176" spans="1:27">
      <c r="A176" s="6">
        <v>46018</v>
      </c>
      <c r="B176" s="10" t="s">
        <v>33</v>
      </c>
      <c r="C176" s="9" t="s">
        <v>65</v>
      </c>
      <c r="D176" s="65" t="s">
        <v>191</v>
      </c>
      <c r="E176" s="10" t="s">
        <v>118</v>
      </c>
      <c r="F176" s="45" t="s">
        <v>22</v>
      </c>
      <c r="G176" s="41">
        <v>4.3499999999999996</v>
      </c>
      <c r="H176" s="41">
        <v>4.3899999999999997</v>
      </c>
      <c r="I176" s="47">
        <v>378</v>
      </c>
      <c r="J176" s="13"/>
      <c r="K176" s="14">
        <f t="shared" si="0"/>
        <v>0</v>
      </c>
      <c r="L176" s="13"/>
      <c r="M176" s="13">
        <v>726</v>
      </c>
      <c r="O176" s="13">
        <v>726</v>
      </c>
      <c r="P176" s="59">
        <f>O176/M176</f>
        <v>1</v>
      </c>
      <c r="Q176" s="4"/>
      <c r="R176" s="4" t="s">
        <v>16</v>
      </c>
      <c r="S176" s="4"/>
      <c r="T176" s="4"/>
      <c r="V176" s="4"/>
      <c r="W176" s="4"/>
      <c r="X176" s="4"/>
      <c r="Y176" s="4"/>
      <c r="Z176" s="4"/>
      <c r="AA176" s="4"/>
    </row>
    <row r="177" spans="1:27">
      <c r="A177" s="6">
        <v>46018</v>
      </c>
      <c r="B177" s="58" t="s">
        <v>81</v>
      </c>
      <c r="C177" s="9" t="s">
        <v>110</v>
      </c>
      <c r="D177" s="65" t="s">
        <v>195</v>
      </c>
      <c r="E177" s="10" t="s">
        <v>32</v>
      </c>
      <c r="F177" s="35" t="s">
        <v>22</v>
      </c>
      <c r="G177" s="36">
        <v>4.53</v>
      </c>
      <c r="H177" s="36">
        <v>4.62</v>
      </c>
      <c r="I177" s="47">
        <v>552</v>
      </c>
      <c r="J177" s="13"/>
      <c r="K177" s="14">
        <f t="shared" si="0"/>
        <v>0</v>
      </c>
      <c r="L177" s="13"/>
      <c r="M177" s="13">
        <v>1090</v>
      </c>
      <c r="N177" s="15">
        <v>1089</v>
      </c>
      <c r="O177" s="4"/>
      <c r="P177" s="59">
        <f>N177/M177</f>
        <v>0.99908256880733948</v>
      </c>
      <c r="Q177" s="4"/>
      <c r="R177" s="4" t="s">
        <v>16</v>
      </c>
      <c r="S177" s="4"/>
      <c r="T177" s="4"/>
      <c r="V177" s="4"/>
      <c r="W177" s="4"/>
      <c r="X177" s="4"/>
      <c r="Y177" s="4"/>
      <c r="Z177" s="4"/>
      <c r="AA177" s="4"/>
    </row>
    <row r="178" spans="1:27">
      <c r="A178" s="6">
        <v>46012</v>
      </c>
      <c r="B178" s="10" t="s">
        <v>98</v>
      </c>
      <c r="C178" s="10" t="s">
        <v>124</v>
      </c>
      <c r="D178" s="75" t="s">
        <v>196</v>
      </c>
      <c r="E178" s="10" t="s">
        <v>158</v>
      </c>
      <c r="F178" s="11" t="s">
        <v>22</v>
      </c>
      <c r="G178" s="30">
        <v>4.47</v>
      </c>
      <c r="H178" s="30">
        <v>4.4800000000000004</v>
      </c>
      <c r="I178" s="47">
        <v>105</v>
      </c>
      <c r="J178" s="13"/>
      <c r="K178" s="14">
        <f t="shared" si="0"/>
        <v>1.5</v>
      </c>
      <c r="L178" s="13">
        <v>90</v>
      </c>
      <c r="M178" s="13"/>
      <c r="N178" s="15"/>
      <c r="O178" s="4"/>
      <c r="P178" s="4"/>
      <c r="Q178" s="4"/>
      <c r="R178" s="4" t="s">
        <v>16</v>
      </c>
      <c r="S178" s="4"/>
      <c r="T178" s="4"/>
      <c r="V178" s="4"/>
      <c r="W178" s="4"/>
      <c r="X178" s="4"/>
      <c r="Y178" s="4"/>
      <c r="Z178" s="4"/>
      <c r="AA178" s="4"/>
    </row>
    <row r="179" spans="1:27">
      <c r="A179" s="6">
        <v>46012</v>
      </c>
      <c r="B179" s="26" t="s">
        <v>27</v>
      </c>
      <c r="C179" s="10" t="s">
        <v>159</v>
      </c>
      <c r="D179" s="58"/>
      <c r="E179" s="10" t="s">
        <v>140</v>
      </c>
      <c r="F179" s="76" t="s">
        <v>26</v>
      </c>
      <c r="G179" s="30">
        <v>4.5999999999999996</v>
      </c>
      <c r="H179" s="30">
        <v>4.6500000000000004</v>
      </c>
      <c r="I179" s="47">
        <v>249</v>
      </c>
      <c r="J179" s="13"/>
      <c r="K179" s="14">
        <f t="shared" si="0"/>
        <v>2.15</v>
      </c>
      <c r="L179" s="13">
        <v>129</v>
      </c>
      <c r="M179" s="13"/>
      <c r="N179" s="15"/>
      <c r="O179" s="4"/>
      <c r="P179" s="4"/>
      <c r="Q179" s="4"/>
      <c r="R179" s="4" t="s">
        <v>16</v>
      </c>
      <c r="S179" s="4"/>
      <c r="T179" s="4"/>
      <c r="V179" s="4"/>
      <c r="W179" s="4"/>
      <c r="X179" s="4"/>
      <c r="Y179" s="4"/>
      <c r="Z179" s="4"/>
      <c r="AA179" s="4"/>
    </row>
    <row r="180" spans="1:27">
      <c r="A180" s="6">
        <v>46012</v>
      </c>
      <c r="B180" s="10" t="s">
        <v>23</v>
      </c>
      <c r="C180" s="10" t="s">
        <v>197</v>
      </c>
      <c r="D180" s="58"/>
      <c r="E180" s="10" t="s">
        <v>21</v>
      </c>
      <c r="F180" s="76" t="s">
        <v>26</v>
      </c>
      <c r="G180" s="30">
        <v>4.3</v>
      </c>
      <c r="H180" s="30">
        <v>4.32</v>
      </c>
      <c r="I180" s="47">
        <v>216</v>
      </c>
      <c r="J180" s="13"/>
      <c r="K180" s="14">
        <f t="shared" si="0"/>
        <v>2.6166666666666667</v>
      </c>
      <c r="L180" s="13">
        <v>157</v>
      </c>
      <c r="M180" s="13"/>
      <c r="N180" s="15"/>
      <c r="O180" s="4"/>
      <c r="P180" s="4"/>
      <c r="Q180" s="4"/>
      <c r="R180" s="4" t="s">
        <v>16</v>
      </c>
      <c r="S180" s="4"/>
      <c r="T180" s="4"/>
      <c r="V180" s="4"/>
      <c r="W180" s="4"/>
      <c r="X180" s="4"/>
      <c r="Y180" s="4"/>
      <c r="Z180" s="4"/>
      <c r="AA180" s="4"/>
    </row>
    <row r="181" spans="1:27">
      <c r="A181" s="6">
        <v>46012</v>
      </c>
      <c r="B181" s="10" t="s">
        <v>33</v>
      </c>
      <c r="C181" s="10" t="s">
        <v>198</v>
      </c>
      <c r="D181" s="58"/>
      <c r="E181" s="10" t="s">
        <v>127</v>
      </c>
      <c r="F181" s="76" t="s">
        <v>26</v>
      </c>
      <c r="G181" s="30">
        <v>4.71</v>
      </c>
      <c r="H181" s="30">
        <v>4.74</v>
      </c>
      <c r="I181" s="47">
        <v>446</v>
      </c>
      <c r="J181" s="13"/>
      <c r="K181" s="14">
        <f t="shared" si="0"/>
        <v>2.2333333333333334</v>
      </c>
      <c r="L181" s="13">
        <v>134</v>
      </c>
      <c r="M181" s="13"/>
      <c r="N181" s="15"/>
      <c r="O181" s="4"/>
      <c r="P181" s="4"/>
      <c r="Q181" s="4"/>
      <c r="R181" s="4" t="s">
        <v>16</v>
      </c>
      <c r="S181" s="4"/>
      <c r="T181" s="4"/>
      <c r="V181" s="4"/>
      <c r="W181" s="4"/>
      <c r="X181" s="4"/>
      <c r="Y181" s="4"/>
      <c r="Z181" s="4"/>
      <c r="AA181" s="4"/>
    </row>
    <row r="182" spans="1:27">
      <c r="A182" s="6">
        <v>46012</v>
      </c>
      <c r="B182" s="61" t="s">
        <v>68</v>
      </c>
      <c r="C182" s="10" t="s">
        <v>38</v>
      </c>
      <c r="D182" s="58"/>
      <c r="E182" s="10" t="s">
        <v>176</v>
      </c>
      <c r="F182" s="74" t="s">
        <v>26</v>
      </c>
      <c r="G182" s="41">
        <v>4.4800000000000004</v>
      </c>
      <c r="H182" s="41">
        <v>4.55</v>
      </c>
      <c r="I182" s="47">
        <v>119</v>
      </c>
      <c r="J182" s="13"/>
      <c r="K182" s="14">
        <f t="shared" si="0"/>
        <v>0</v>
      </c>
      <c r="L182" s="13"/>
      <c r="M182" s="13"/>
      <c r="N182" s="15"/>
      <c r="O182" s="4"/>
      <c r="P182" s="4"/>
      <c r="Q182" s="4"/>
      <c r="R182" s="4" t="s">
        <v>16</v>
      </c>
      <c r="S182" s="4"/>
      <c r="T182" s="4"/>
      <c r="V182" s="4"/>
      <c r="W182" s="4"/>
      <c r="X182" s="4"/>
      <c r="Y182" s="4"/>
      <c r="Z182" s="4"/>
      <c r="AA182" s="4"/>
    </row>
    <row r="183" spans="1:27">
      <c r="A183" s="6">
        <v>46012</v>
      </c>
      <c r="B183" s="55" t="s">
        <v>81</v>
      </c>
      <c r="C183" s="10" t="s">
        <v>82</v>
      </c>
      <c r="D183" s="58"/>
      <c r="E183" s="10" t="s">
        <v>57</v>
      </c>
      <c r="F183" s="69" t="s">
        <v>26</v>
      </c>
      <c r="G183" s="36">
        <v>4.57</v>
      </c>
      <c r="H183" s="36">
        <v>4.62</v>
      </c>
      <c r="I183" s="47">
        <v>418</v>
      </c>
      <c r="J183" s="13"/>
      <c r="K183" s="14">
        <f t="shared" si="0"/>
        <v>0</v>
      </c>
      <c r="L183" s="13"/>
      <c r="M183" s="13"/>
      <c r="N183" s="15"/>
      <c r="O183" s="4"/>
      <c r="P183" s="4"/>
      <c r="Q183" s="4"/>
      <c r="R183" s="4" t="s">
        <v>16</v>
      </c>
      <c r="S183" s="4"/>
      <c r="T183" s="4"/>
      <c r="V183" s="4"/>
      <c r="W183" s="4"/>
      <c r="X183" s="4"/>
      <c r="Y183" s="4"/>
      <c r="Z183" s="4"/>
      <c r="AA183" s="4"/>
    </row>
    <row r="184" spans="1:27">
      <c r="A184" s="6">
        <v>46012</v>
      </c>
      <c r="B184" s="39" t="s">
        <v>168</v>
      </c>
      <c r="C184" s="10" t="s">
        <v>84</v>
      </c>
      <c r="D184" s="58"/>
      <c r="E184" s="10" t="s">
        <v>118</v>
      </c>
      <c r="F184" s="74" t="s">
        <v>26</v>
      </c>
      <c r="G184" s="41">
        <v>4.45</v>
      </c>
      <c r="H184" s="41">
        <v>4.46</v>
      </c>
      <c r="I184" s="47">
        <v>424</v>
      </c>
      <c r="J184" s="13"/>
      <c r="K184" s="14">
        <f t="shared" si="0"/>
        <v>0</v>
      </c>
      <c r="L184" s="13"/>
      <c r="M184" s="13">
        <v>787</v>
      </c>
      <c r="N184" s="15">
        <v>716</v>
      </c>
      <c r="O184" s="4"/>
      <c r="P184" s="59">
        <f t="shared" ref="P184:P185" si="5">N184/M184</f>
        <v>0.90978398983481579</v>
      </c>
      <c r="Q184" s="4"/>
      <c r="R184" s="4" t="s">
        <v>16</v>
      </c>
      <c r="S184" s="4"/>
      <c r="T184" s="4"/>
      <c r="V184" s="4"/>
      <c r="W184" s="4"/>
      <c r="X184" s="4"/>
      <c r="Y184" s="4"/>
      <c r="Z184" s="4"/>
      <c r="AA184" s="4"/>
    </row>
    <row r="185" spans="1:27">
      <c r="A185" s="6">
        <v>46012</v>
      </c>
      <c r="B185" s="55" t="s">
        <v>81</v>
      </c>
      <c r="C185" s="10" t="s">
        <v>199</v>
      </c>
      <c r="D185" s="75" t="s">
        <v>200</v>
      </c>
      <c r="E185" s="10" t="s">
        <v>32</v>
      </c>
      <c r="F185" s="35" t="s">
        <v>22</v>
      </c>
      <c r="G185" s="36">
        <v>4.42</v>
      </c>
      <c r="H185" s="36">
        <v>4.5199999999999996</v>
      </c>
      <c r="I185" s="47">
        <v>607</v>
      </c>
      <c r="J185" s="13"/>
      <c r="K185" s="14">
        <f t="shared" si="0"/>
        <v>0</v>
      </c>
      <c r="L185" s="13"/>
      <c r="M185" s="13">
        <v>1244</v>
      </c>
      <c r="N185" s="15">
        <v>1158</v>
      </c>
      <c r="O185" s="4"/>
      <c r="P185" s="59">
        <f t="shared" si="5"/>
        <v>0.93086816720257237</v>
      </c>
      <c r="Q185" s="4"/>
      <c r="R185" s="4" t="s">
        <v>16</v>
      </c>
      <c r="S185" s="4"/>
      <c r="T185" s="4"/>
      <c r="V185" s="4"/>
      <c r="W185" s="4"/>
      <c r="X185" s="4"/>
      <c r="Y185" s="4"/>
      <c r="Z185" s="4"/>
      <c r="AA185" s="4"/>
    </row>
    <row r="186" spans="1:27">
      <c r="A186" s="6">
        <v>46011</v>
      </c>
      <c r="B186" s="10" t="s">
        <v>19</v>
      </c>
      <c r="C186" s="10" t="s">
        <v>20</v>
      </c>
      <c r="D186" s="58"/>
      <c r="E186" s="10" t="s">
        <v>201</v>
      </c>
      <c r="F186" s="45" t="s">
        <v>22</v>
      </c>
      <c r="G186" s="41">
        <v>4.49</v>
      </c>
      <c r="H186" s="41">
        <v>4.72</v>
      </c>
      <c r="I186" s="47">
        <v>79</v>
      </c>
      <c r="J186" s="13"/>
      <c r="K186" s="14">
        <f t="shared" si="0"/>
        <v>0</v>
      </c>
      <c r="L186" s="13"/>
      <c r="M186" s="13"/>
      <c r="N186" s="15"/>
      <c r="O186" s="4"/>
      <c r="P186" s="4"/>
      <c r="Q186" s="4"/>
      <c r="R186" s="4" t="s">
        <v>16</v>
      </c>
      <c r="S186" s="4"/>
      <c r="T186" s="4"/>
      <c r="V186" s="4"/>
      <c r="W186" s="4"/>
      <c r="X186" s="4"/>
      <c r="Y186" s="4"/>
      <c r="Z186" s="4"/>
      <c r="AA186" s="4"/>
    </row>
    <row r="187" spans="1:27">
      <c r="A187" s="6">
        <v>46011</v>
      </c>
      <c r="B187" s="10" t="s">
        <v>98</v>
      </c>
      <c r="C187" s="10" t="s">
        <v>136</v>
      </c>
      <c r="D187" s="58"/>
      <c r="E187" s="10" t="s">
        <v>158</v>
      </c>
      <c r="F187" s="11" t="s">
        <v>22</v>
      </c>
      <c r="G187" s="30">
        <v>4.3899999999999997</v>
      </c>
      <c r="H187" s="30">
        <v>4.43</v>
      </c>
      <c r="I187" s="47">
        <v>141</v>
      </c>
      <c r="J187" s="13"/>
      <c r="K187" s="14">
        <f t="shared" si="0"/>
        <v>0</v>
      </c>
      <c r="L187" s="13"/>
      <c r="M187" s="13"/>
      <c r="N187" s="15"/>
      <c r="O187" s="4"/>
      <c r="P187" s="4"/>
      <c r="Q187" s="4"/>
      <c r="R187" s="4" t="s">
        <v>16</v>
      </c>
      <c r="S187" s="4"/>
      <c r="T187" s="4"/>
      <c r="V187" s="4"/>
      <c r="W187" s="4"/>
      <c r="X187" s="4"/>
      <c r="Y187" s="4"/>
      <c r="Z187" s="4"/>
      <c r="AA187" s="4"/>
    </row>
    <row r="188" spans="1:27">
      <c r="A188" s="6">
        <v>46011</v>
      </c>
      <c r="B188" s="26" t="s">
        <v>58</v>
      </c>
      <c r="C188" s="10" t="s">
        <v>167</v>
      </c>
      <c r="D188" s="58"/>
      <c r="E188" s="10" t="s">
        <v>140</v>
      </c>
      <c r="F188" s="76" t="s">
        <v>26</v>
      </c>
      <c r="G188" s="30">
        <v>4.3899999999999997</v>
      </c>
      <c r="H188" s="30">
        <v>4.42</v>
      </c>
      <c r="I188" s="47">
        <v>243</v>
      </c>
      <c r="J188" s="13"/>
      <c r="K188" s="14">
        <f t="shared" si="0"/>
        <v>1.7</v>
      </c>
      <c r="L188" s="13">
        <v>102</v>
      </c>
      <c r="M188" s="13"/>
      <c r="N188" s="15"/>
      <c r="O188" s="4"/>
      <c r="P188" s="4"/>
      <c r="Q188" s="4"/>
      <c r="R188" s="4" t="s">
        <v>16</v>
      </c>
      <c r="S188" s="4"/>
      <c r="T188" s="4"/>
      <c r="V188" s="4"/>
      <c r="W188" s="4"/>
      <c r="X188" s="4"/>
      <c r="Y188" s="4"/>
      <c r="Z188" s="4"/>
      <c r="AA188" s="4"/>
    </row>
    <row r="189" spans="1:27">
      <c r="A189" s="6">
        <v>46011</v>
      </c>
      <c r="B189" s="10" t="s">
        <v>23</v>
      </c>
      <c r="C189" s="10" t="s">
        <v>202</v>
      </c>
      <c r="D189" s="58"/>
      <c r="E189" s="10" t="s">
        <v>21</v>
      </c>
      <c r="F189" s="76" t="s">
        <v>26</v>
      </c>
      <c r="G189" s="30">
        <v>4.3499999999999996</v>
      </c>
      <c r="H189" s="30">
        <v>4.33</v>
      </c>
      <c r="I189" s="47">
        <v>317</v>
      </c>
      <c r="J189" s="13"/>
      <c r="K189" s="14">
        <f t="shared" si="0"/>
        <v>2.3666666666666667</v>
      </c>
      <c r="L189" s="13">
        <v>142</v>
      </c>
      <c r="M189" s="13"/>
      <c r="N189" s="15"/>
      <c r="O189" s="4"/>
      <c r="P189" s="4"/>
      <c r="Q189" s="4"/>
      <c r="R189" s="4" t="s">
        <v>16</v>
      </c>
      <c r="S189" s="4"/>
      <c r="T189" s="4"/>
      <c r="V189" s="4"/>
      <c r="W189" s="4"/>
      <c r="X189" s="4"/>
      <c r="Y189" s="4"/>
      <c r="Z189" s="4"/>
      <c r="AA189" s="4"/>
    </row>
    <row r="190" spans="1:27">
      <c r="A190" s="6">
        <v>46011</v>
      </c>
      <c r="B190" s="10" t="s">
        <v>33</v>
      </c>
      <c r="C190" s="10" t="s">
        <v>203</v>
      </c>
      <c r="D190" s="58"/>
      <c r="E190" s="10" t="s">
        <v>127</v>
      </c>
      <c r="F190" s="76" t="s">
        <v>26</v>
      </c>
      <c r="G190" s="30">
        <v>4.62</v>
      </c>
      <c r="H190" s="30">
        <v>4.5599999999999996</v>
      </c>
      <c r="I190" s="47">
        <v>563</v>
      </c>
      <c r="J190" s="13"/>
      <c r="K190" s="14">
        <f t="shared" si="0"/>
        <v>1.7333333333333334</v>
      </c>
      <c r="L190" s="13">
        <v>104</v>
      </c>
      <c r="M190" s="13"/>
      <c r="N190" s="15"/>
      <c r="O190" s="4"/>
      <c r="P190" s="4"/>
      <c r="Q190" s="4"/>
      <c r="R190" s="4" t="s">
        <v>16</v>
      </c>
      <c r="S190" s="4"/>
      <c r="T190" s="4"/>
      <c r="V190" s="4"/>
      <c r="W190" s="4"/>
      <c r="X190" s="4"/>
      <c r="Y190" s="4"/>
      <c r="Z190" s="4"/>
      <c r="AA190" s="4"/>
    </row>
    <row r="191" spans="1:27">
      <c r="A191" s="6">
        <v>46011</v>
      </c>
      <c r="B191" s="61" t="s">
        <v>68</v>
      </c>
      <c r="C191" s="10" t="s">
        <v>64</v>
      </c>
      <c r="D191" s="58"/>
      <c r="E191" s="10" t="s">
        <v>176</v>
      </c>
      <c r="F191" s="76" t="s">
        <v>26</v>
      </c>
      <c r="G191" s="30">
        <v>4.62</v>
      </c>
      <c r="H191" s="30">
        <v>4.67</v>
      </c>
      <c r="I191" s="47">
        <v>797</v>
      </c>
      <c r="J191" s="13"/>
      <c r="K191" s="14">
        <f t="shared" si="0"/>
        <v>0</v>
      </c>
      <c r="L191" s="13"/>
      <c r="M191" s="13"/>
      <c r="N191" s="15"/>
      <c r="O191" s="4"/>
      <c r="P191" s="4"/>
      <c r="Q191" s="4"/>
      <c r="R191" s="4" t="s">
        <v>16</v>
      </c>
      <c r="S191" s="4"/>
      <c r="T191" s="4"/>
      <c r="V191" s="4"/>
      <c r="W191" s="4"/>
      <c r="X191" s="4"/>
      <c r="Y191" s="4"/>
      <c r="Z191" s="4"/>
      <c r="AA191" s="4"/>
    </row>
    <row r="192" spans="1:27">
      <c r="A192" s="6">
        <v>46011</v>
      </c>
      <c r="B192" s="55" t="s">
        <v>81</v>
      </c>
      <c r="C192" s="34" t="s">
        <v>94</v>
      </c>
      <c r="D192" s="58"/>
      <c r="E192" s="34" t="s">
        <v>57</v>
      </c>
      <c r="F192" s="69" t="s">
        <v>26</v>
      </c>
      <c r="G192" s="36">
        <v>4.66</v>
      </c>
      <c r="H192" s="36">
        <v>4.72</v>
      </c>
      <c r="I192" s="47">
        <v>480</v>
      </c>
      <c r="J192" s="13"/>
      <c r="K192" s="14">
        <f t="shared" si="0"/>
        <v>0</v>
      </c>
      <c r="L192" s="13"/>
      <c r="M192" s="13"/>
      <c r="N192" s="15"/>
      <c r="O192" s="4"/>
      <c r="P192" s="4"/>
      <c r="Q192" s="4"/>
      <c r="R192" s="4" t="s">
        <v>16</v>
      </c>
      <c r="S192" s="4"/>
      <c r="T192" s="4"/>
      <c r="V192" s="4"/>
      <c r="W192" s="4"/>
      <c r="X192" s="4"/>
      <c r="Y192" s="4"/>
      <c r="Z192" s="4"/>
      <c r="AA192" s="4"/>
    </row>
    <row r="193" spans="1:27">
      <c r="A193" s="6">
        <v>46011</v>
      </c>
      <c r="B193" s="34" t="s">
        <v>168</v>
      </c>
      <c r="C193" s="34" t="s">
        <v>183</v>
      </c>
      <c r="D193" s="58"/>
      <c r="E193" s="34" t="s">
        <v>118</v>
      </c>
      <c r="F193" s="69" t="s">
        <v>26</v>
      </c>
      <c r="G193" s="36">
        <v>4.3</v>
      </c>
      <c r="H193" s="36">
        <v>4.3099999999999996</v>
      </c>
      <c r="I193" s="47">
        <v>583</v>
      </c>
      <c r="J193" s="13"/>
      <c r="K193" s="14">
        <f t="shared" si="0"/>
        <v>0</v>
      </c>
      <c r="L193" s="13"/>
      <c r="M193" s="13">
        <v>883</v>
      </c>
      <c r="N193" s="15">
        <v>805</v>
      </c>
      <c r="O193" s="4"/>
      <c r="P193" s="59">
        <f t="shared" ref="P193:P194" si="6">N193/M193</f>
        <v>0.91166477916194788</v>
      </c>
      <c r="Q193" s="4"/>
      <c r="R193" s="4" t="s">
        <v>16</v>
      </c>
      <c r="S193" s="4"/>
      <c r="T193" s="4"/>
      <c r="V193" s="4"/>
      <c r="W193" s="4"/>
      <c r="X193" s="4"/>
      <c r="Y193" s="4"/>
      <c r="Z193" s="4"/>
      <c r="AA193" s="4"/>
    </row>
    <row r="194" spans="1:27">
      <c r="A194" s="6">
        <v>46011</v>
      </c>
      <c r="B194" s="61" t="s">
        <v>81</v>
      </c>
      <c r="C194" s="39" t="s">
        <v>123</v>
      </c>
      <c r="D194" s="58"/>
      <c r="E194" s="39" t="s">
        <v>32</v>
      </c>
      <c r="F194" s="45" t="s">
        <v>22</v>
      </c>
      <c r="G194" s="41">
        <v>4.51</v>
      </c>
      <c r="H194" s="41">
        <v>4.6500000000000004</v>
      </c>
      <c r="I194" s="47">
        <v>737</v>
      </c>
      <c r="J194" s="13"/>
      <c r="K194" s="14">
        <f t="shared" si="0"/>
        <v>0</v>
      </c>
      <c r="L194" s="13"/>
      <c r="M194" s="13">
        <v>1456</v>
      </c>
      <c r="N194" s="15">
        <v>1389</v>
      </c>
      <c r="O194" s="4"/>
      <c r="P194" s="59">
        <f t="shared" si="6"/>
        <v>0.95398351648351654</v>
      </c>
      <c r="Q194" s="4"/>
      <c r="R194" s="4" t="s">
        <v>16</v>
      </c>
      <c r="S194" s="4"/>
      <c r="T194" s="4"/>
      <c r="V194" s="4"/>
      <c r="W194" s="4"/>
      <c r="X194" s="4"/>
      <c r="Y194" s="4"/>
      <c r="Z194" s="4"/>
      <c r="AA194" s="4"/>
    </row>
    <row r="195" spans="1:27">
      <c r="A195" s="6">
        <v>46005</v>
      </c>
      <c r="B195" s="10" t="s">
        <v>19</v>
      </c>
      <c r="C195" s="10" t="s">
        <v>53</v>
      </c>
      <c r="D195" s="58"/>
      <c r="E195" s="10" t="s">
        <v>201</v>
      </c>
      <c r="F195" s="76" t="s">
        <v>26</v>
      </c>
      <c r="G195" s="30">
        <v>4.5199999999999996</v>
      </c>
      <c r="H195" s="30">
        <v>4.5599999999999996</v>
      </c>
      <c r="I195" s="47"/>
      <c r="J195" s="13"/>
      <c r="K195" s="14">
        <f t="shared" si="0"/>
        <v>2.1166666666666667</v>
      </c>
      <c r="L195" s="13">
        <v>127</v>
      </c>
      <c r="M195" s="13"/>
      <c r="N195" s="15"/>
      <c r="O195" s="4"/>
      <c r="P195" s="4"/>
      <c r="Q195" s="4"/>
      <c r="R195" s="4" t="s">
        <v>16</v>
      </c>
      <c r="S195" s="4"/>
      <c r="T195" s="4"/>
      <c r="V195" s="4"/>
      <c r="W195" s="4"/>
      <c r="X195" s="4"/>
      <c r="Y195" s="4"/>
      <c r="Z195" s="4"/>
      <c r="AA195" s="4"/>
    </row>
    <row r="196" spans="1:27">
      <c r="A196" s="6">
        <v>46370</v>
      </c>
      <c r="B196" s="26" t="s">
        <v>47</v>
      </c>
      <c r="C196" s="10" t="s">
        <v>204</v>
      </c>
      <c r="D196" s="58"/>
      <c r="E196" s="10" t="s">
        <v>158</v>
      </c>
      <c r="F196" s="76" t="s">
        <v>26</v>
      </c>
      <c r="G196" s="30">
        <v>4.71</v>
      </c>
      <c r="H196" s="30">
        <v>4.7</v>
      </c>
      <c r="I196" s="47"/>
      <c r="J196" s="13"/>
      <c r="K196" s="14">
        <f t="shared" si="0"/>
        <v>2.0499999999999998</v>
      </c>
      <c r="L196" s="13">
        <v>123</v>
      </c>
      <c r="M196" s="13"/>
      <c r="N196" s="15"/>
      <c r="O196" s="4"/>
      <c r="P196" s="4"/>
      <c r="Q196" s="4"/>
      <c r="R196" s="4" t="s">
        <v>16</v>
      </c>
      <c r="S196" s="4"/>
      <c r="T196" s="4"/>
      <c r="V196" s="4"/>
      <c r="W196" s="4"/>
      <c r="X196" s="4"/>
      <c r="Y196" s="4"/>
      <c r="Z196" s="4"/>
      <c r="AA196" s="4"/>
    </row>
    <row r="197" spans="1:27">
      <c r="A197" s="6">
        <v>46370</v>
      </c>
      <c r="B197" s="10" t="s">
        <v>23</v>
      </c>
      <c r="C197" s="10" t="s">
        <v>205</v>
      </c>
      <c r="D197" s="58"/>
      <c r="E197" s="10" t="s">
        <v>21</v>
      </c>
      <c r="F197" s="76" t="s">
        <v>26</v>
      </c>
      <c r="G197" s="30">
        <v>4.1100000000000003</v>
      </c>
      <c r="H197" s="30">
        <v>4.08</v>
      </c>
      <c r="I197" s="47"/>
      <c r="J197" s="13"/>
      <c r="K197" s="14">
        <f t="shared" si="0"/>
        <v>2.4166666666666665</v>
      </c>
      <c r="L197" s="13">
        <v>145</v>
      </c>
      <c r="M197" s="13"/>
      <c r="N197" s="15"/>
      <c r="O197" s="4"/>
      <c r="P197" s="4"/>
      <c r="Q197" s="4"/>
      <c r="R197" s="4" t="s">
        <v>16</v>
      </c>
      <c r="S197" s="4"/>
      <c r="T197" s="4"/>
      <c r="V197" s="4"/>
      <c r="W197" s="4"/>
      <c r="X197" s="4"/>
      <c r="Y197" s="4"/>
      <c r="Z197" s="4"/>
      <c r="AA197" s="4"/>
    </row>
    <row r="198" spans="1:27">
      <c r="A198" s="6">
        <v>46370</v>
      </c>
      <c r="B198" s="60" t="s">
        <v>77</v>
      </c>
      <c r="C198" s="10" t="s">
        <v>206</v>
      </c>
      <c r="D198" s="58"/>
      <c r="E198" s="10" t="s">
        <v>101</v>
      </c>
      <c r="F198" s="76" t="s">
        <v>26</v>
      </c>
      <c r="G198" s="30">
        <v>4.55</v>
      </c>
      <c r="H198" s="15">
        <v>4.59</v>
      </c>
      <c r="I198" s="47"/>
      <c r="J198" s="13"/>
      <c r="K198" s="14">
        <f t="shared" si="0"/>
        <v>1.45</v>
      </c>
      <c r="L198" s="13">
        <v>87</v>
      </c>
      <c r="M198" s="13"/>
      <c r="N198" s="15"/>
      <c r="O198" s="4"/>
      <c r="P198" s="4"/>
      <c r="Q198" s="4"/>
      <c r="R198" s="4" t="s">
        <v>16</v>
      </c>
      <c r="S198" s="4"/>
      <c r="T198" s="4"/>
      <c r="V198" s="4"/>
      <c r="W198" s="4"/>
      <c r="X198" s="4"/>
      <c r="Y198" s="4"/>
      <c r="Z198" s="4"/>
      <c r="AA198" s="4"/>
    </row>
    <row r="199" spans="1:27">
      <c r="A199" s="6">
        <v>46370</v>
      </c>
      <c r="B199" s="39" t="s">
        <v>98</v>
      </c>
      <c r="C199" s="10" t="s">
        <v>41</v>
      </c>
      <c r="D199" s="58"/>
      <c r="E199" s="10" t="s">
        <v>207</v>
      </c>
      <c r="F199" s="76" t="s">
        <v>26</v>
      </c>
      <c r="G199" s="30">
        <v>4.47</v>
      </c>
      <c r="H199" s="30">
        <v>4.4800000000000004</v>
      </c>
      <c r="I199" s="47"/>
      <c r="J199" s="13"/>
      <c r="K199" s="14">
        <f t="shared" si="0"/>
        <v>3.5833333333333335</v>
      </c>
      <c r="L199" s="13">
        <v>215</v>
      </c>
      <c r="M199" s="13"/>
      <c r="N199" s="15"/>
      <c r="O199" s="4"/>
      <c r="P199" s="4"/>
      <c r="Q199" s="4"/>
      <c r="R199" s="4" t="s">
        <v>16</v>
      </c>
      <c r="S199" s="4"/>
      <c r="T199" s="4"/>
      <c r="V199" s="4"/>
      <c r="W199" s="4"/>
      <c r="X199" s="4"/>
      <c r="Y199" s="4"/>
      <c r="Z199" s="4"/>
      <c r="AA199" s="4"/>
    </row>
    <row r="200" spans="1:27">
      <c r="A200" s="6">
        <v>46370</v>
      </c>
      <c r="B200" s="77" t="s">
        <v>208</v>
      </c>
      <c r="C200" s="34" t="s">
        <v>209</v>
      </c>
      <c r="D200" s="58"/>
      <c r="E200" s="34" t="s">
        <v>210</v>
      </c>
      <c r="F200" s="69" t="s">
        <v>26</v>
      </c>
      <c r="G200" s="36">
        <v>4.34</v>
      </c>
      <c r="H200" s="78">
        <v>4.3499999999999996</v>
      </c>
      <c r="I200" s="70"/>
      <c r="J200" s="71"/>
      <c r="K200" s="72">
        <f t="shared" si="0"/>
        <v>0</v>
      </c>
      <c r="L200" s="71"/>
      <c r="M200" s="71">
        <v>1668</v>
      </c>
      <c r="N200" s="63">
        <v>1609</v>
      </c>
      <c r="O200" s="73"/>
      <c r="P200" s="79">
        <f>N200/M200</f>
        <v>0.96462829736211031</v>
      </c>
      <c r="Q200" s="73"/>
      <c r="R200" s="73" t="s">
        <v>16</v>
      </c>
      <c r="S200" s="73"/>
      <c r="T200" s="73"/>
      <c r="V200" s="4"/>
      <c r="W200" s="4"/>
      <c r="X200" s="4"/>
      <c r="Y200" s="4"/>
      <c r="Z200" s="4"/>
      <c r="AA200" s="4"/>
    </row>
    <row r="201" spans="1:27">
      <c r="A201" s="6">
        <v>46004</v>
      </c>
      <c r="B201" s="39" t="s">
        <v>19</v>
      </c>
      <c r="C201" s="10" t="s">
        <v>72</v>
      </c>
      <c r="D201" s="58"/>
      <c r="E201" s="10" t="s">
        <v>201</v>
      </c>
      <c r="F201" s="76" t="s">
        <v>26</v>
      </c>
      <c r="G201" s="30">
        <v>4.53</v>
      </c>
      <c r="H201" s="30">
        <v>4.57</v>
      </c>
      <c r="I201" s="47">
        <v>965</v>
      </c>
      <c r="J201" s="13"/>
      <c r="K201" s="14">
        <f t="shared" si="0"/>
        <v>2.5166666666666666</v>
      </c>
      <c r="L201" s="13">
        <v>151</v>
      </c>
      <c r="M201" s="13"/>
      <c r="N201" s="15"/>
      <c r="O201" s="4"/>
      <c r="P201" s="4"/>
      <c r="Q201" s="4"/>
      <c r="R201" s="4" t="s">
        <v>16</v>
      </c>
      <c r="S201" s="4"/>
      <c r="T201" s="4"/>
      <c r="V201" s="4"/>
      <c r="W201" s="4"/>
      <c r="X201" s="4"/>
      <c r="Y201" s="4"/>
      <c r="Z201" s="4"/>
      <c r="AA201" s="4"/>
    </row>
    <row r="202" spans="1:27">
      <c r="A202" s="6">
        <v>46004</v>
      </c>
      <c r="B202" s="24" t="s">
        <v>47</v>
      </c>
      <c r="C202" s="10" t="s">
        <v>169</v>
      </c>
      <c r="D202" s="58"/>
      <c r="E202" s="10" t="s">
        <v>140</v>
      </c>
      <c r="F202" s="76" t="s">
        <v>26</v>
      </c>
      <c r="G202" s="30">
        <v>4.5199999999999996</v>
      </c>
      <c r="H202" s="30">
        <v>4.55</v>
      </c>
      <c r="I202" s="47">
        <v>239</v>
      </c>
      <c r="J202" s="13"/>
      <c r="K202" s="14">
        <f t="shared" si="0"/>
        <v>2.0499999999999998</v>
      </c>
      <c r="L202" s="13">
        <v>123</v>
      </c>
      <c r="M202" s="13"/>
      <c r="N202" s="15"/>
      <c r="O202" s="4"/>
      <c r="P202" s="4"/>
      <c r="Q202" s="4"/>
      <c r="R202" s="4" t="s">
        <v>16</v>
      </c>
      <c r="S202" s="4"/>
      <c r="T202" s="4"/>
      <c r="V202" s="4"/>
      <c r="W202" s="4"/>
      <c r="X202" s="4"/>
      <c r="Y202" s="4"/>
      <c r="Z202" s="4"/>
      <c r="AA202" s="4"/>
    </row>
    <row r="203" spans="1:27">
      <c r="A203" s="6">
        <v>46004</v>
      </c>
      <c r="B203" s="10" t="s">
        <v>33</v>
      </c>
      <c r="C203" s="10" t="s">
        <v>211</v>
      </c>
      <c r="D203" s="58"/>
      <c r="E203" s="10" t="s">
        <v>21</v>
      </c>
      <c r="F203" s="11" t="s">
        <v>22</v>
      </c>
      <c r="G203" s="30">
        <v>4.71</v>
      </c>
      <c r="H203" s="30">
        <v>4.7699999999999996</v>
      </c>
      <c r="I203" s="47"/>
      <c r="J203" s="13"/>
      <c r="K203" s="14">
        <f t="shared" si="0"/>
        <v>2</v>
      </c>
      <c r="L203" s="13">
        <v>120</v>
      </c>
      <c r="M203" s="13"/>
      <c r="N203" s="15"/>
      <c r="O203" s="4"/>
      <c r="P203" s="4"/>
      <c r="Q203" s="4"/>
      <c r="R203" s="4" t="s">
        <v>16</v>
      </c>
      <c r="S203" s="4"/>
      <c r="T203" s="4"/>
      <c r="V203" s="4"/>
      <c r="W203" s="4"/>
      <c r="X203" s="4"/>
      <c r="Y203" s="4"/>
      <c r="Z203" s="4"/>
      <c r="AA203" s="4"/>
    </row>
    <row r="204" spans="1:27">
      <c r="A204" s="6">
        <v>46004</v>
      </c>
      <c r="B204" s="10" t="s">
        <v>33</v>
      </c>
      <c r="C204" s="10" t="s">
        <v>212</v>
      </c>
      <c r="D204" s="58"/>
      <c r="E204" s="10" t="s">
        <v>213</v>
      </c>
      <c r="F204" s="76" t="s">
        <v>26</v>
      </c>
      <c r="G204" s="30">
        <v>4.6500000000000004</v>
      </c>
      <c r="H204" s="30">
        <v>4.6399999999999997</v>
      </c>
      <c r="I204" s="47"/>
      <c r="J204" s="13"/>
      <c r="K204" s="14">
        <f t="shared" si="0"/>
        <v>2.0666666666666669</v>
      </c>
      <c r="L204" s="13">
        <v>124</v>
      </c>
      <c r="M204" s="13"/>
      <c r="N204" s="15"/>
      <c r="O204" s="4"/>
      <c r="P204" s="4"/>
      <c r="Q204" s="4"/>
      <c r="R204" s="4" t="s">
        <v>16</v>
      </c>
      <c r="S204" s="4"/>
      <c r="T204" s="4"/>
      <c r="V204" s="4"/>
      <c r="W204" s="4"/>
      <c r="X204" s="4"/>
      <c r="Y204" s="4"/>
      <c r="Z204" s="4"/>
      <c r="AA204" s="4"/>
    </row>
    <row r="205" spans="1:27">
      <c r="A205" s="6">
        <v>46004</v>
      </c>
      <c r="B205" s="10" t="s">
        <v>214</v>
      </c>
      <c r="C205" s="10" t="s">
        <v>215</v>
      </c>
      <c r="D205" s="58"/>
      <c r="E205" s="10" t="s">
        <v>216</v>
      </c>
      <c r="F205" s="76" t="s">
        <v>26</v>
      </c>
      <c r="G205" s="30">
        <v>4.41</v>
      </c>
      <c r="H205" s="30">
        <v>4.5</v>
      </c>
      <c r="I205" s="47"/>
      <c r="J205" s="13"/>
      <c r="K205" s="14">
        <f t="shared" si="0"/>
        <v>2.2666666666666666</v>
      </c>
      <c r="L205" s="13">
        <v>136</v>
      </c>
      <c r="M205" s="13"/>
      <c r="N205" s="15"/>
      <c r="O205" s="4"/>
      <c r="P205" s="4"/>
      <c r="Q205" s="4"/>
      <c r="R205" s="4" t="s">
        <v>16</v>
      </c>
      <c r="S205" s="4"/>
      <c r="T205" s="4"/>
      <c r="V205" s="4"/>
      <c r="W205" s="4"/>
      <c r="X205" s="4"/>
      <c r="Y205" s="4"/>
      <c r="Z205" s="4"/>
      <c r="AA205" s="4"/>
    </row>
    <row r="206" spans="1:27">
      <c r="A206" s="6">
        <v>46004</v>
      </c>
      <c r="B206" s="10" t="s">
        <v>171</v>
      </c>
      <c r="C206" s="10" t="s">
        <v>44</v>
      </c>
      <c r="D206" s="58"/>
      <c r="E206" s="10" t="s">
        <v>57</v>
      </c>
      <c r="F206" s="76" t="s">
        <v>26</v>
      </c>
      <c r="G206" s="30">
        <v>4.16</v>
      </c>
      <c r="H206" s="30">
        <v>4.2699999999999996</v>
      </c>
      <c r="I206" s="47">
        <v>414</v>
      </c>
      <c r="J206" s="13"/>
      <c r="K206" s="14">
        <f t="shared" si="0"/>
        <v>0</v>
      </c>
      <c r="L206" s="13"/>
      <c r="M206" s="13"/>
      <c r="N206" s="15"/>
      <c r="O206" s="4"/>
      <c r="P206" s="4"/>
      <c r="Q206" s="4"/>
      <c r="R206" s="4" t="s">
        <v>16</v>
      </c>
      <c r="S206" s="4"/>
      <c r="T206" s="4"/>
      <c r="V206" s="4"/>
      <c r="W206" s="4"/>
      <c r="X206" s="4"/>
      <c r="Y206" s="4"/>
      <c r="Z206" s="4"/>
      <c r="AA206" s="4"/>
    </row>
    <row r="207" spans="1:27">
      <c r="A207" s="6">
        <v>46004</v>
      </c>
      <c r="B207" s="55" t="s">
        <v>81</v>
      </c>
      <c r="C207" s="34" t="s">
        <v>110</v>
      </c>
      <c r="D207" s="58"/>
      <c r="E207" s="34" t="s">
        <v>118</v>
      </c>
      <c r="F207" s="35" t="s">
        <v>22</v>
      </c>
      <c r="G207" s="36">
        <v>4.59</v>
      </c>
      <c r="H207" s="36">
        <v>4.6500000000000004</v>
      </c>
      <c r="I207" s="47">
        <v>508</v>
      </c>
      <c r="J207" s="13"/>
      <c r="K207" s="14">
        <f t="shared" si="0"/>
        <v>0</v>
      </c>
      <c r="L207" s="13"/>
      <c r="M207" s="13">
        <v>960</v>
      </c>
      <c r="N207" s="15">
        <v>924</v>
      </c>
      <c r="O207" s="4"/>
      <c r="P207" s="59">
        <f>N207/M207</f>
        <v>0.96250000000000002</v>
      </c>
      <c r="Q207" s="4"/>
      <c r="R207" s="4" t="s">
        <v>16</v>
      </c>
      <c r="S207" s="4"/>
      <c r="T207" s="4"/>
      <c r="V207" s="4"/>
      <c r="W207" s="4"/>
      <c r="X207" s="4"/>
      <c r="Y207" s="4"/>
      <c r="Z207" s="4"/>
      <c r="AA207" s="4"/>
    </row>
    <row r="208" spans="1:27">
      <c r="A208" s="6">
        <v>45998</v>
      </c>
      <c r="B208" s="23" t="s">
        <v>47</v>
      </c>
      <c r="C208" s="55" t="s">
        <v>217</v>
      </c>
      <c r="D208" s="55"/>
      <c r="E208" s="55" t="s">
        <v>218</v>
      </c>
      <c r="F208" s="69" t="s">
        <v>26</v>
      </c>
      <c r="G208" s="36">
        <v>4.71</v>
      </c>
      <c r="H208" s="36">
        <v>4.6900000000000004</v>
      </c>
      <c r="I208" s="47"/>
      <c r="J208" s="13"/>
      <c r="K208" s="14">
        <f t="shared" si="0"/>
        <v>1.7666666666666666</v>
      </c>
      <c r="L208" s="13">
        <v>106</v>
      </c>
      <c r="M208" s="13"/>
      <c r="N208" s="15"/>
      <c r="O208" s="4"/>
      <c r="P208" s="4"/>
      <c r="Q208" s="4"/>
      <c r="R208" s="4" t="s">
        <v>16</v>
      </c>
      <c r="S208" s="4"/>
      <c r="T208" s="4"/>
      <c r="V208" s="4"/>
      <c r="W208" s="4"/>
      <c r="X208" s="4"/>
      <c r="Y208" s="4"/>
      <c r="Z208" s="4"/>
      <c r="AA208" s="4"/>
    </row>
    <row r="209" spans="1:27">
      <c r="A209" s="6">
        <v>45998</v>
      </c>
      <c r="B209" s="39" t="s">
        <v>19</v>
      </c>
      <c r="C209" s="61" t="s">
        <v>87</v>
      </c>
      <c r="D209" s="61"/>
      <c r="E209" s="61" t="s">
        <v>219</v>
      </c>
      <c r="F209" s="74" t="s">
        <v>26</v>
      </c>
      <c r="G209" s="41">
        <v>4.6900000000000004</v>
      </c>
      <c r="H209" s="41">
        <v>4.6100000000000003</v>
      </c>
      <c r="I209" s="47"/>
      <c r="J209" s="13"/>
      <c r="K209" s="14">
        <f t="shared" si="0"/>
        <v>2.35</v>
      </c>
      <c r="L209" s="13">
        <v>141</v>
      </c>
      <c r="M209" s="13"/>
      <c r="N209" s="15"/>
      <c r="O209" s="4"/>
      <c r="P209" s="4"/>
      <c r="Q209" s="4"/>
      <c r="R209" s="4" t="s">
        <v>16</v>
      </c>
      <c r="S209" s="4"/>
      <c r="T209" s="4"/>
      <c r="V209" s="4"/>
      <c r="W209" s="4"/>
      <c r="X209" s="4"/>
      <c r="Y209" s="4"/>
      <c r="Z209" s="4"/>
      <c r="AA209" s="4"/>
    </row>
    <row r="210" spans="1:27">
      <c r="A210" s="6">
        <v>45998</v>
      </c>
      <c r="B210" s="23" t="s">
        <v>58</v>
      </c>
      <c r="C210" s="77" t="s">
        <v>163</v>
      </c>
      <c r="D210" s="80" t="s">
        <v>220</v>
      </c>
      <c r="E210" s="77" t="s">
        <v>221</v>
      </c>
      <c r="F210" s="35" t="s">
        <v>22</v>
      </c>
      <c r="G210" s="36">
        <v>4.25</v>
      </c>
      <c r="H210" s="63">
        <v>4.4000000000000004</v>
      </c>
      <c r="I210" s="47"/>
      <c r="J210" s="13"/>
      <c r="K210" s="14">
        <f t="shared" si="0"/>
        <v>1.65</v>
      </c>
      <c r="L210" s="13">
        <v>99</v>
      </c>
      <c r="M210" s="13"/>
      <c r="N210" s="15"/>
      <c r="O210" s="4"/>
      <c r="P210" s="4"/>
      <c r="Q210" s="4"/>
      <c r="R210" s="4" t="s">
        <v>16</v>
      </c>
      <c r="S210" s="4"/>
      <c r="T210" s="4"/>
      <c r="V210" s="4"/>
      <c r="W210" s="4"/>
      <c r="X210" s="4"/>
      <c r="Y210" s="4"/>
      <c r="Z210" s="4"/>
      <c r="AA210" s="4"/>
    </row>
    <row r="211" spans="1:27">
      <c r="A211" s="6">
        <v>45998</v>
      </c>
      <c r="B211" s="81" t="s">
        <v>33</v>
      </c>
      <c r="C211" s="81" t="s">
        <v>222</v>
      </c>
      <c r="D211" s="82" t="s">
        <v>223</v>
      </c>
      <c r="E211" s="81" t="s">
        <v>224</v>
      </c>
      <c r="F211" s="45" t="s">
        <v>22</v>
      </c>
      <c r="G211" s="41">
        <v>4.71</v>
      </c>
      <c r="H211" s="41">
        <v>4.7699999999999996</v>
      </c>
      <c r="I211" s="47"/>
      <c r="J211" s="13"/>
      <c r="K211" s="14">
        <f t="shared" si="0"/>
        <v>1.8</v>
      </c>
      <c r="L211" s="13">
        <v>108</v>
      </c>
      <c r="M211" s="13"/>
      <c r="N211" s="15"/>
      <c r="O211" s="4"/>
      <c r="P211" s="4"/>
      <c r="Q211" s="4"/>
      <c r="R211" s="4" t="s">
        <v>16</v>
      </c>
      <c r="S211" s="4"/>
      <c r="T211" s="4"/>
      <c r="V211" s="4"/>
      <c r="W211" s="4"/>
      <c r="X211" s="4"/>
      <c r="Y211" s="4"/>
      <c r="Z211" s="4"/>
      <c r="AA211" s="4"/>
    </row>
    <row r="212" spans="1:27">
      <c r="A212" s="6">
        <v>45998</v>
      </c>
      <c r="B212" s="77" t="s">
        <v>33</v>
      </c>
      <c r="C212" s="77" t="s">
        <v>225</v>
      </c>
      <c r="D212" s="77"/>
      <c r="E212" s="77" t="s">
        <v>226</v>
      </c>
      <c r="F212" s="69" t="s">
        <v>26</v>
      </c>
      <c r="G212" s="36">
        <v>4.6100000000000003</v>
      </c>
      <c r="H212" s="36">
        <v>4.6500000000000004</v>
      </c>
      <c r="I212" s="47"/>
      <c r="J212" s="13"/>
      <c r="K212" s="14">
        <f t="shared" si="0"/>
        <v>1.7666666666666666</v>
      </c>
      <c r="L212" s="13">
        <v>106</v>
      </c>
      <c r="M212" s="13"/>
      <c r="N212" s="15"/>
      <c r="O212" s="4"/>
      <c r="P212" s="4"/>
      <c r="Q212" s="4"/>
      <c r="R212" s="4" t="s">
        <v>16</v>
      </c>
      <c r="S212" s="4"/>
      <c r="T212" s="4"/>
      <c r="V212" s="4"/>
      <c r="W212" s="4"/>
      <c r="X212" s="4"/>
      <c r="Y212" s="4"/>
      <c r="Z212" s="4"/>
      <c r="AA212" s="4"/>
    </row>
    <row r="213" spans="1:27">
      <c r="A213" s="6">
        <v>45998</v>
      </c>
      <c r="B213" s="61" t="s">
        <v>81</v>
      </c>
      <c r="C213" s="61" t="s">
        <v>199</v>
      </c>
      <c r="D213" s="61"/>
      <c r="E213" s="61" t="s">
        <v>227</v>
      </c>
      <c r="F213" s="74" t="s">
        <v>26</v>
      </c>
      <c r="G213" s="41">
        <v>4.57</v>
      </c>
      <c r="H213" s="41">
        <v>4.6900000000000004</v>
      </c>
      <c r="I213" s="47"/>
      <c r="J213" s="13"/>
      <c r="K213" s="14">
        <f t="shared" si="0"/>
        <v>0</v>
      </c>
      <c r="L213" s="13"/>
      <c r="M213" s="13">
        <v>984</v>
      </c>
      <c r="N213" s="15">
        <v>791</v>
      </c>
      <c r="O213" s="4"/>
      <c r="P213" s="59">
        <f>N213/M213</f>
        <v>0.80386178861788615</v>
      </c>
      <c r="Q213" s="4"/>
      <c r="R213" s="4" t="s">
        <v>16</v>
      </c>
      <c r="S213" s="4"/>
      <c r="T213" s="4"/>
      <c r="V213" s="4"/>
      <c r="W213" s="4"/>
      <c r="X213" s="4"/>
      <c r="Y213" s="4"/>
      <c r="Z213" s="4"/>
      <c r="AA213" s="4"/>
    </row>
    <row r="214" spans="1:27">
      <c r="A214" s="6">
        <v>45997</v>
      </c>
      <c r="B214" s="34" t="s">
        <v>19</v>
      </c>
      <c r="C214" s="77" t="s">
        <v>20</v>
      </c>
      <c r="D214" s="77"/>
      <c r="E214" s="77" t="s">
        <v>218</v>
      </c>
      <c r="F214" s="35" t="s">
        <v>22</v>
      </c>
      <c r="G214" s="83">
        <v>4.58</v>
      </c>
      <c r="H214" s="83">
        <v>4.7300000000000004</v>
      </c>
      <c r="I214" s="47"/>
      <c r="J214" s="13"/>
      <c r="K214" s="14">
        <f t="shared" si="0"/>
        <v>1.7</v>
      </c>
      <c r="L214" s="13">
        <v>102</v>
      </c>
      <c r="M214" s="13"/>
      <c r="N214" s="15"/>
      <c r="O214" s="4"/>
      <c r="P214" s="4"/>
      <c r="Q214" s="4"/>
      <c r="R214" s="4" t="s">
        <v>16</v>
      </c>
      <c r="S214" s="4"/>
      <c r="T214" s="4"/>
      <c r="V214" s="4"/>
      <c r="W214" s="4"/>
      <c r="X214" s="4"/>
      <c r="Y214" s="4"/>
      <c r="Z214" s="4"/>
      <c r="AA214" s="4"/>
    </row>
    <row r="215" spans="1:27">
      <c r="A215" s="6">
        <v>45997</v>
      </c>
      <c r="B215" s="39" t="s">
        <v>98</v>
      </c>
      <c r="C215" s="81" t="s">
        <v>99</v>
      </c>
      <c r="D215" s="81"/>
      <c r="E215" s="81" t="s">
        <v>219</v>
      </c>
      <c r="F215" s="74" t="s">
        <v>26</v>
      </c>
      <c r="G215" s="84">
        <v>4.49</v>
      </c>
      <c r="H215" s="53">
        <v>4.53</v>
      </c>
      <c r="I215" s="47">
        <v>208</v>
      </c>
      <c r="J215" s="13"/>
      <c r="K215" s="14">
        <f t="shared" si="0"/>
        <v>1.6333333333333333</v>
      </c>
      <c r="L215" s="13">
        <v>98</v>
      </c>
      <c r="M215" s="13"/>
      <c r="N215" s="15"/>
      <c r="O215" s="4"/>
      <c r="P215" s="4"/>
      <c r="Q215" s="4"/>
      <c r="R215" s="4" t="s">
        <v>16</v>
      </c>
      <c r="S215" s="4"/>
      <c r="T215" s="4"/>
      <c r="V215" s="4"/>
      <c r="W215" s="4"/>
      <c r="X215" s="4"/>
      <c r="Y215" s="4"/>
      <c r="Z215" s="4"/>
      <c r="AA215" s="4"/>
    </row>
    <row r="216" spans="1:27">
      <c r="A216" s="6">
        <v>45997</v>
      </c>
      <c r="B216" s="77" t="s">
        <v>151</v>
      </c>
      <c r="C216" s="77" t="s">
        <v>228</v>
      </c>
      <c r="D216" s="77"/>
      <c r="E216" s="77" t="s">
        <v>229</v>
      </c>
      <c r="F216" s="69" t="s">
        <v>26</v>
      </c>
      <c r="G216" s="83">
        <v>4.37</v>
      </c>
      <c r="H216" s="63">
        <v>4.4400000000000004</v>
      </c>
      <c r="I216" s="47"/>
      <c r="J216" s="13"/>
      <c r="K216" s="14">
        <f t="shared" si="0"/>
        <v>1.5833333333333333</v>
      </c>
      <c r="L216" s="13">
        <v>95</v>
      </c>
      <c r="M216" s="13"/>
      <c r="N216" s="15"/>
      <c r="O216" s="4"/>
      <c r="P216" s="4"/>
      <c r="Q216" s="4"/>
      <c r="R216" s="4" t="s">
        <v>16</v>
      </c>
      <c r="S216" s="4"/>
      <c r="T216" s="4"/>
      <c r="V216" s="4"/>
      <c r="W216" s="4"/>
      <c r="X216" s="4"/>
      <c r="Y216" s="4"/>
      <c r="Z216" s="4"/>
      <c r="AA216" s="4"/>
    </row>
    <row r="217" spans="1:27">
      <c r="A217" s="6">
        <v>45997</v>
      </c>
      <c r="B217" s="81" t="s">
        <v>141</v>
      </c>
      <c r="C217" s="81" t="s">
        <v>173</v>
      </c>
      <c r="D217" s="81"/>
      <c r="E217" s="81" t="s">
        <v>221</v>
      </c>
      <c r="F217" s="74" t="s">
        <v>26</v>
      </c>
      <c r="G217" s="84">
        <v>4.49</v>
      </c>
      <c r="H217" s="53">
        <v>4.4800000000000004</v>
      </c>
      <c r="I217" s="47">
        <v>232</v>
      </c>
      <c r="J217" s="13"/>
      <c r="K217" s="14">
        <f t="shared" si="0"/>
        <v>0</v>
      </c>
      <c r="L217" s="13"/>
      <c r="M217" s="13"/>
      <c r="N217" s="15"/>
      <c r="O217" s="4"/>
      <c r="P217" s="4"/>
      <c r="Q217" s="4"/>
      <c r="R217" s="4" t="s">
        <v>16</v>
      </c>
      <c r="S217" s="4"/>
      <c r="T217" s="4"/>
      <c r="V217" s="4"/>
      <c r="W217" s="4"/>
      <c r="X217" s="4"/>
      <c r="Y217" s="4"/>
      <c r="Z217" s="4"/>
      <c r="AA217" s="4"/>
    </row>
    <row r="218" spans="1:27">
      <c r="A218" s="6">
        <v>45997</v>
      </c>
      <c r="B218" s="77" t="s">
        <v>33</v>
      </c>
      <c r="C218" s="77" t="s">
        <v>230</v>
      </c>
      <c r="D218" s="80" t="s">
        <v>231</v>
      </c>
      <c r="E218" s="77" t="s">
        <v>224</v>
      </c>
      <c r="F218" s="35" t="s">
        <v>22</v>
      </c>
      <c r="G218" s="83">
        <v>4.7</v>
      </c>
      <c r="H218" s="63">
        <v>4.72</v>
      </c>
      <c r="I218" s="47"/>
      <c r="J218" s="13"/>
      <c r="K218" s="14">
        <f t="shared" si="0"/>
        <v>1.6333333333333333</v>
      </c>
      <c r="L218" s="13">
        <v>98</v>
      </c>
      <c r="M218" s="13"/>
      <c r="N218" s="15"/>
      <c r="O218" s="4"/>
      <c r="P218" s="4"/>
      <c r="Q218" s="4"/>
      <c r="R218" s="4" t="s">
        <v>16</v>
      </c>
      <c r="S218" s="4"/>
      <c r="T218" s="4"/>
      <c r="V218" s="4"/>
      <c r="W218" s="4"/>
      <c r="X218" s="4"/>
      <c r="Y218" s="4"/>
      <c r="Z218" s="4"/>
      <c r="AA218" s="4"/>
    </row>
    <row r="219" spans="1:27">
      <c r="A219" s="6">
        <v>45997</v>
      </c>
      <c r="B219" s="81" t="s">
        <v>33</v>
      </c>
      <c r="C219" s="81" t="s">
        <v>232</v>
      </c>
      <c r="D219" s="81"/>
      <c r="E219" s="81" t="s">
        <v>233</v>
      </c>
      <c r="F219" s="74" t="s">
        <v>26</v>
      </c>
      <c r="G219" s="84">
        <v>4.1900000000000004</v>
      </c>
      <c r="H219" s="53">
        <v>4.3499999999999996</v>
      </c>
      <c r="I219" s="47">
        <v>512</v>
      </c>
      <c r="J219" s="13"/>
      <c r="K219" s="14">
        <f t="shared" si="0"/>
        <v>1.8333333333333333</v>
      </c>
      <c r="L219" s="13">
        <v>110</v>
      </c>
      <c r="M219" s="13"/>
      <c r="N219" s="15"/>
      <c r="O219" s="4"/>
      <c r="P219" s="4"/>
      <c r="Q219" s="4"/>
      <c r="R219" s="4" t="s">
        <v>16</v>
      </c>
      <c r="S219" s="4"/>
      <c r="T219" s="4"/>
      <c r="V219" s="4"/>
      <c r="W219" s="4"/>
      <c r="X219" s="4"/>
      <c r="Y219" s="4"/>
      <c r="Z219" s="4"/>
      <c r="AA219" s="4"/>
    </row>
    <row r="220" spans="1:27">
      <c r="A220" s="6">
        <v>45997</v>
      </c>
      <c r="B220" s="55" t="s">
        <v>81</v>
      </c>
      <c r="C220" s="55" t="s">
        <v>123</v>
      </c>
      <c r="D220" s="55"/>
      <c r="E220" s="55" t="s">
        <v>227</v>
      </c>
      <c r="F220" s="69" t="s">
        <v>26</v>
      </c>
      <c r="G220" s="83">
        <v>4.62</v>
      </c>
      <c r="H220" s="63">
        <v>4.74</v>
      </c>
      <c r="I220" s="47">
        <v>638</v>
      </c>
      <c r="J220" s="13"/>
      <c r="K220" s="14">
        <f t="shared" si="0"/>
        <v>0</v>
      </c>
      <c r="L220" s="13"/>
      <c r="M220" s="13">
        <v>1088</v>
      </c>
      <c r="N220" s="15">
        <v>1041</v>
      </c>
      <c r="O220" s="4"/>
      <c r="P220" s="59">
        <f>N220/M220</f>
        <v>0.95680147058823528</v>
      </c>
      <c r="Q220" s="4"/>
      <c r="R220" s="4" t="s">
        <v>16</v>
      </c>
      <c r="S220" s="4"/>
      <c r="T220" s="4"/>
      <c r="V220" s="4"/>
      <c r="W220" s="4"/>
      <c r="X220" s="4"/>
      <c r="Y220" s="4"/>
      <c r="Z220" s="4"/>
      <c r="AA220" s="4"/>
    </row>
    <row r="221" spans="1:27">
      <c r="A221" s="85" t="s">
        <v>234</v>
      </c>
      <c r="B221" s="68" t="s">
        <v>235</v>
      </c>
      <c r="C221" s="68" t="s">
        <v>236</v>
      </c>
      <c r="D221" s="68"/>
      <c r="E221" s="68" t="s">
        <v>237</v>
      </c>
      <c r="F221" s="76" t="s">
        <v>26</v>
      </c>
      <c r="G221" s="12">
        <v>4.66</v>
      </c>
      <c r="H221" s="15"/>
      <c r="I221" s="47">
        <v>870</v>
      </c>
      <c r="J221" s="13"/>
      <c r="K221" s="14">
        <f t="shared" si="0"/>
        <v>0</v>
      </c>
      <c r="L221" s="13"/>
      <c r="M221" s="13"/>
      <c r="N221" s="15"/>
      <c r="O221" s="4"/>
      <c r="P221" s="4"/>
      <c r="Q221" s="4"/>
      <c r="R221" s="4" t="s">
        <v>16</v>
      </c>
      <c r="S221" s="4"/>
      <c r="T221" s="4"/>
      <c r="V221" s="4"/>
      <c r="W221" s="4"/>
      <c r="X221" s="4"/>
      <c r="Y221" s="4"/>
      <c r="Z221" s="4"/>
      <c r="AA221" s="4"/>
    </row>
    <row r="222" spans="1:27">
      <c r="A222" s="85" t="s">
        <v>238</v>
      </c>
      <c r="B222" s="10" t="s">
        <v>19</v>
      </c>
      <c r="C222" s="68" t="s">
        <v>53</v>
      </c>
      <c r="D222" s="68"/>
      <c r="E222" s="68" t="s">
        <v>218</v>
      </c>
      <c r="F222" s="76" t="s">
        <v>26</v>
      </c>
      <c r="G222" s="47">
        <v>4.5599999999999996</v>
      </c>
      <c r="H222" s="12">
        <v>4.71</v>
      </c>
      <c r="I222" s="47">
        <v>325</v>
      </c>
      <c r="J222" s="13"/>
      <c r="K222" s="14">
        <f t="shared" si="0"/>
        <v>1.9166666666666667</v>
      </c>
      <c r="L222" s="13">
        <v>115</v>
      </c>
      <c r="M222" s="13"/>
      <c r="N222" s="15"/>
      <c r="O222" s="4"/>
      <c r="P222" s="4"/>
      <c r="Q222" s="4"/>
      <c r="R222" s="4" t="s">
        <v>16</v>
      </c>
      <c r="S222" s="4"/>
      <c r="T222" s="4"/>
      <c r="V222" s="4"/>
      <c r="W222" s="4"/>
      <c r="X222" s="4"/>
      <c r="Y222" s="4"/>
      <c r="Z222" s="4"/>
      <c r="AA222" s="4"/>
    </row>
    <row r="223" spans="1:27">
      <c r="A223" s="85" t="s">
        <v>238</v>
      </c>
      <c r="B223" s="68" t="s">
        <v>98</v>
      </c>
      <c r="C223" s="68" t="s">
        <v>112</v>
      </c>
      <c r="D223" s="68"/>
      <c r="E223" s="68" t="s">
        <v>219</v>
      </c>
      <c r="F223" s="76" t="s">
        <v>26</v>
      </c>
      <c r="G223" s="47">
        <v>4.5199999999999996</v>
      </c>
      <c r="H223" s="12">
        <v>4.57</v>
      </c>
      <c r="I223" s="47">
        <v>175</v>
      </c>
      <c r="J223" s="13"/>
      <c r="K223" s="14">
        <f t="shared" si="0"/>
        <v>1.5833333333333333</v>
      </c>
      <c r="L223" s="13">
        <v>95</v>
      </c>
      <c r="M223" s="13"/>
      <c r="N223" s="15"/>
      <c r="O223" s="4"/>
      <c r="P223" s="4"/>
      <c r="Q223" s="4"/>
      <c r="R223" s="4" t="s">
        <v>16</v>
      </c>
      <c r="S223" s="4"/>
      <c r="T223" s="4"/>
      <c r="V223" s="4"/>
      <c r="W223" s="4"/>
      <c r="X223" s="4"/>
      <c r="Y223" s="4"/>
      <c r="Z223" s="4"/>
      <c r="AA223" s="4"/>
    </row>
    <row r="224" spans="1:27">
      <c r="A224" s="85" t="s">
        <v>238</v>
      </c>
      <c r="B224" s="26" t="s">
        <v>58</v>
      </c>
      <c r="C224" s="68" t="s">
        <v>193</v>
      </c>
      <c r="D224" s="68"/>
      <c r="E224" s="68" t="s">
        <v>229</v>
      </c>
      <c r="F224" s="76" t="s">
        <v>26</v>
      </c>
      <c r="G224" s="47">
        <v>4.12</v>
      </c>
      <c r="H224" s="12">
        <v>4.12</v>
      </c>
      <c r="I224" s="47">
        <v>40</v>
      </c>
      <c r="J224" s="13"/>
      <c r="K224" s="14">
        <f t="shared" si="0"/>
        <v>1.7333333333333334</v>
      </c>
      <c r="L224" s="13">
        <v>104</v>
      </c>
      <c r="M224" s="13"/>
      <c r="N224" s="15"/>
      <c r="O224" s="4"/>
      <c r="P224" s="4"/>
      <c r="Q224" s="4"/>
      <c r="R224" s="4" t="s">
        <v>16</v>
      </c>
      <c r="S224" s="4"/>
      <c r="T224" s="4"/>
      <c r="V224" s="4"/>
      <c r="W224" s="4"/>
      <c r="X224" s="4"/>
      <c r="Y224" s="4"/>
      <c r="Z224" s="4"/>
      <c r="AA224" s="4"/>
    </row>
    <row r="225" spans="1:27">
      <c r="A225" s="85" t="s">
        <v>238</v>
      </c>
      <c r="B225" s="26" t="s">
        <v>47</v>
      </c>
      <c r="C225" s="68" t="s">
        <v>217</v>
      </c>
      <c r="D225" s="68"/>
      <c r="E225" s="68" t="s">
        <v>221</v>
      </c>
      <c r="F225" s="76" t="s">
        <v>26</v>
      </c>
      <c r="G225" s="47">
        <v>4.49</v>
      </c>
      <c r="H225" s="12">
        <v>4.53</v>
      </c>
      <c r="I225" s="47">
        <v>332</v>
      </c>
      <c r="J225" s="13"/>
      <c r="K225" s="86">
        <f t="shared" si="0"/>
        <v>1.7666666666666666</v>
      </c>
      <c r="L225" s="13">
        <v>106</v>
      </c>
      <c r="M225" s="13"/>
      <c r="N225" s="15"/>
      <c r="O225" s="4"/>
      <c r="P225" s="4"/>
      <c r="Q225" s="4"/>
      <c r="R225" s="4" t="s">
        <v>16</v>
      </c>
      <c r="S225" s="4"/>
      <c r="T225" s="4"/>
      <c r="V225" s="4"/>
      <c r="W225" s="4"/>
      <c r="X225" s="4"/>
      <c r="Y225" s="4"/>
      <c r="Z225" s="4"/>
      <c r="AA225" s="4"/>
    </row>
    <row r="226" spans="1:27">
      <c r="A226" s="85" t="s">
        <v>238</v>
      </c>
      <c r="B226" s="68" t="s">
        <v>33</v>
      </c>
      <c r="C226" s="68" t="s">
        <v>239</v>
      </c>
      <c r="D226" s="87" t="s">
        <v>240</v>
      </c>
      <c r="E226" s="68" t="s">
        <v>224</v>
      </c>
      <c r="F226" s="11" t="s">
        <v>22</v>
      </c>
      <c r="G226" s="47">
        <v>4.54</v>
      </c>
      <c r="H226" s="12">
        <v>4.59</v>
      </c>
      <c r="I226" s="47">
        <v>92</v>
      </c>
      <c r="J226" s="13"/>
      <c r="K226" s="86">
        <f t="shared" si="0"/>
        <v>1.5833333333333333</v>
      </c>
      <c r="L226" s="13">
        <v>95</v>
      </c>
      <c r="M226" s="13"/>
      <c r="N226" s="15"/>
      <c r="O226" s="4"/>
      <c r="P226" s="4"/>
      <c r="Q226" s="4"/>
      <c r="R226" s="4" t="s">
        <v>16</v>
      </c>
      <c r="S226" s="4"/>
      <c r="T226" s="4"/>
      <c r="V226" s="4"/>
      <c r="W226" s="4"/>
      <c r="X226" s="4"/>
      <c r="Y226" s="4"/>
      <c r="Z226" s="4"/>
      <c r="AA226" s="4"/>
    </row>
    <row r="227" spans="1:27">
      <c r="A227" s="85" t="s">
        <v>238</v>
      </c>
      <c r="B227" s="68" t="s">
        <v>33</v>
      </c>
      <c r="C227" s="68" t="s">
        <v>65</v>
      </c>
      <c r="D227" s="68"/>
      <c r="E227" s="68" t="s">
        <v>241</v>
      </c>
      <c r="F227" s="76" t="s">
        <v>26</v>
      </c>
      <c r="G227" s="47">
        <v>4.5999999999999996</v>
      </c>
      <c r="H227" s="12">
        <v>4.63</v>
      </c>
      <c r="I227" s="47">
        <v>1620</v>
      </c>
      <c r="J227" s="13"/>
      <c r="K227" s="86">
        <f t="shared" si="0"/>
        <v>2.1166666666666667</v>
      </c>
      <c r="L227" s="13">
        <v>127</v>
      </c>
      <c r="M227" s="13">
        <v>3216</v>
      </c>
      <c r="N227" s="15">
        <v>2723</v>
      </c>
      <c r="O227" s="4"/>
      <c r="P227" s="59">
        <f t="shared" ref="P227:P228" si="7">N227/M227</f>
        <v>0.84670398009950254</v>
      </c>
      <c r="Q227" s="4"/>
      <c r="R227" s="4" t="s">
        <v>16</v>
      </c>
      <c r="S227" s="4"/>
      <c r="T227" s="4"/>
      <c r="V227" s="4"/>
      <c r="W227" s="4"/>
      <c r="X227" s="4"/>
      <c r="Y227" s="4"/>
      <c r="Z227" s="4"/>
      <c r="AA227" s="4"/>
    </row>
    <row r="228" spans="1:27">
      <c r="A228" s="85" t="s">
        <v>238</v>
      </c>
      <c r="B228" s="55" t="s">
        <v>81</v>
      </c>
      <c r="C228" s="77" t="s">
        <v>110</v>
      </c>
      <c r="D228" s="68"/>
      <c r="E228" s="77" t="s">
        <v>57</v>
      </c>
      <c r="F228" s="69" t="s">
        <v>26</v>
      </c>
      <c r="G228" s="36">
        <v>4.6399999999999997</v>
      </c>
      <c r="H228" s="36">
        <v>4.67</v>
      </c>
      <c r="I228" s="36">
        <v>665</v>
      </c>
      <c r="J228" s="13"/>
      <c r="K228" s="86">
        <f t="shared" si="0"/>
        <v>2.9666666666666668</v>
      </c>
      <c r="L228" s="13">
        <v>178</v>
      </c>
      <c r="M228" s="13">
        <v>1340</v>
      </c>
      <c r="N228" s="15">
        <v>1290</v>
      </c>
      <c r="O228" s="4"/>
      <c r="P228" s="59">
        <f t="shared" si="7"/>
        <v>0.96268656716417911</v>
      </c>
      <c r="Q228" s="4"/>
      <c r="R228" s="4" t="s">
        <v>16</v>
      </c>
      <c r="S228" s="4"/>
      <c r="T228" s="4"/>
      <c r="V228" s="4"/>
      <c r="W228" s="4"/>
      <c r="X228" s="4"/>
      <c r="Y228" s="4"/>
      <c r="Z228" s="4"/>
      <c r="AA228" s="4"/>
    </row>
    <row r="229" spans="1:27">
      <c r="A229" s="85" t="s">
        <v>242</v>
      </c>
      <c r="B229" s="10" t="s">
        <v>19</v>
      </c>
      <c r="C229" s="68" t="s">
        <v>243</v>
      </c>
      <c r="D229" s="68"/>
      <c r="E229" s="68" t="s">
        <v>218</v>
      </c>
      <c r="F229" s="76" t="s">
        <v>26</v>
      </c>
      <c r="G229" s="47">
        <v>4.34</v>
      </c>
      <c r="H229" s="88">
        <v>4.5199999999999996</v>
      </c>
      <c r="I229" s="47">
        <v>38</v>
      </c>
      <c r="J229" s="15"/>
      <c r="K229" s="89">
        <f t="shared" si="0"/>
        <v>1.7833333333333334</v>
      </c>
      <c r="L229" s="15">
        <v>107</v>
      </c>
      <c r="M229" s="15"/>
      <c r="N229" s="15"/>
      <c r="O229" s="4"/>
      <c r="P229" s="4"/>
      <c r="Q229" s="4"/>
      <c r="R229" s="4" t="s">
        <v>16</v>
      </c>
      <c r="S229" s="4"/>
      <c r="T229" s="4"/>
      <c r="V229" s="4"/>
      <c r="W229" s="4"/>
      <c r="X229" s="4"/>
      <c r="Y229" s="4"/>
      <c r="Z229" s="4"/>
      <c r="AA229" s="4"/>
    </row>
    <row r="230" spans="1:27">
      <c r="A230" s="85" t="s">
        <v>242</v>
      </c>
      <c r="B230" s="68" t="s">
        <v>98</v>
      </c>
      <c r="C230" s="68" t="s">
        <v>244</v>
      </c>
      <c r="D230" s="68"/>
      <c r="E230" s="68" t="s">
        <v>219</v>
      </c>
      <c r="F230" s="76" t="s">
        <v>26</v>
      </c>
      <c r="G230" s="47">
        <v>4.3499999999999996</v>
      </c>
      <c r="H230" s="88">
        <v>4.4000000000000004</v>
      </c>
      <c r="I230" s="47">
        <v>138</v>
      </c>
      <c r="J230" s="15"/>
      <c r="K230" s="89">
        <f t="shared" si="0"/>
        <v>1.7666666666666666</v>
      </c>
      <c r="L230" s="15">
        <v>106</v>
      </c>
      <c r="M230" s="15"/>
      <c r="N230" s="15"/>
      <c r="O230" s="4"/>
      <c r="P230" s="4"/>
      <c r="Q230" s="4"/>
      <c r="R230" s="4" t="s">
        <v>16</v>
      </c>
      <c r="S230" s="4"/>
      <c r="T230" s="4"/>
      <c r="V230" s="4"/>
      <c r="W230" s="4"/>
      <c r="X230" s="4"/>
      <c r="Y230" s="4"/>
      <c r="Z230" s="4"/>
      <c r="AA230" s="4"/>
    </row>
    <row r="231" spans="1:27">
      <c r="A231" s="85" t="s">
        <v>242</v>
      </c>
      <c r="B231" s="68" t="s">
        <v>155</v>
      </c>
      <c r="C231" s="68" t="s">
        <v>156</v>
      </c>
      <c r="D231" s="68"/>
      <c r="E231" s="68" t="s">
        <v>229</v>
      </c>
      <c r="F231" s="76" t="s">
        <v>26</v>
      </c>
      <c r="G231" s="47">
        <v>4.54</v>
      </c>
      <c r="H231" s="88">
        <v>4.57</v>
      </c>
      <c r="I231" s="47">
        <v>145</v>
      </c>
      <c r="J231" s="15"/>
      <c r="K231" s="89">
        <f t="shared" si="0"/>
        <v>2.0333333333333332</v>
      </c>
      <c r="L231" s="15">
        <v>122</v>
      </c>
      <c r="M231" s="15"/>
      <c r="N231" s="15"/>
      <c r="O231" s="4"/>
      <c r="P231" s="4"/>
      <c r="Q231" s="4"/>
      <c r="R231" s="4" t="s">
        <v>16</v>
      </c>
      <c r="S231" s="4"/>
      <c r="T231" s="4"/>
      <c r="V231" s="4"/>
      <c r="W231" s="4"/>
      <c r="X231" s="4"/>
      <c r="Y231" s="4"/>
      <c r="Z231" s="4"/>
      <c r="AA231" s="4"/>
    </row>
    <row r="232" spans="1:27">
      <c r="A232" s="85" t="s">
        <v>242</v>
      </c>
      <c r="B232" s="68" t="s">
        <v>33</v>
      </c>
      <c r="C232" s="68" t="s">
        <v>179</v>
      </c>
      <c r="D232" s="68"/>
      <c r="E232" s="68" t="s">
        <v>221</v>
      </c>
      <c r="F232" s="76" t="s">
        <v>26</v>
      </c>
      <c r="G232" s="47">
        <v>4.49</v>
      </c>
      <c r="H232" s="88">
        <v>4.53</v>
      </c>
      <c r="I232" s="47">
        <v>278</v>
      </c>
      <c r="J232" s="15"/>
      <c r="K232" s="89">
        <f t="shared" si="0"/>
        <v>1.5666666666666667</v>
      </c>
      <c r="L232" s="15">
        <v>94</v>
      </c>
      <c r="M232" s="15"/>
      <c r="N232" s="15"/>
      <c r="O232" s="4"/>
      <c r="P232" s="4"/>
      <c r="Q232" s="4"/>
      <c r="R232" s="4" t="s">
        <v>16</v>
      </c>
      <c r="S232" s="4"/>
      <c r="T232" s="4"/>
      <c r="V232" s="4"/>
      <c r="W232" s="4"/>
      <c r="X232" s="4"/>
      <c r="Y232" s="4"/>
      <c r="Z232" s="4"/>
      <c r="AA232" s="4"/>
    </row>
    <row r="233" spans="1:27">
      <c r="A233" s="85" t="s">
        <v>242</v>
      </c>
      <c r="B233" s="68" t="s">
        <v>214</v>
      </c>
      <c r="C233" s="68" t="s">
        <v>245</v>
      </c>
      <c r="D233" s="68"/>
      <c r="E233" s="68" t="s">
        <v>246</v>
      </c>
      <c r="F233" s="76" t="s">
        <v>26</v>
      </c>
      <c r="G233" s="47">
        <v>4.4800000000000004</v>
      </c>
      <c r="H233" s="90">
        <v>4.59</v>
      </c>
      <c r="I233" s="47">
        <v>820</v>
      </c>
      <c r="J233" s="15"/>
      <c r="K233" s="89">
        <f t="shared" si="0"/>
        <v>2.1666666666666665</v>
      </c>
      <c r="L233" s="15">
        <v>130</v>
      </c>
      <c r="M233" s="15"/>
      <c r="N233" s="15"/>
      <c r="O233" s="4"/>
      <c r="P233" s="4"/>
      <c r="Q233" s="4"/>
      <c r="R233" s="4" t="s">
        <v>16</v>
      </c>
      <c r="S233" s="4"/>
      <c r="T233" s="4"/>
      <c r="V233" s="4"/>
      <c r="W233" s="4"/>
      <c r="X233" s="4"/>
      <c r="Y233" s="4"/>
      <c r="Z233" s="4"/>
      <c r="AA233" s="4"/>
    </row>
    <row r="234" spans="1:27">
      <c r="A234" s="85" t="s">
        <v>242</v>
      </c>
      <c r="B234" s="77" t="s">
        <v>208</v>
      </c>
      <c r="C234" s="77" t="s">
        <v>67</v>
      </c>
      <c r="D234" s="77"/>
      <c r="E234" s="77" t="s">
        <v>247</v>
      </c>
      <c r="F234" s="69" t="s">
        <v>26</v>
      </c>
      <c r="G234" s="91">
        <v>4.37</v>
      </c>
      <c r="H234" s="91">
        <v>4.3899999999999997</v>
      </c>
      <c r="I234" s="91">
        <v>1144</v>
      </c>
      <c r="J234" s="63"/>
      <c r="K234" s="92">
        <f t="shared" si="0"/>
        <v>2</v>
      </c>
      <c r="L234" s="63">
        <v>120</v>
      </c>
      <c r="M234" s="63">
        <v>1805</v>
      </c>
      <c r="N234" s="63">
        <v>693</v>
      </c>
      <c r="O234" s="63">
        <v>1790</v>
      </c>
      <c r="P234" s="79">
        <f>O234/M234</f>
        <v>0.99168975069252074</v>
      </c>
      <c r="Q234" s="73"/>
      <c r="R234" s="73" t="s">
        <v>16</v>
      </c>
      <c r="S234" s="73"/>
      <c r="T234" s="73"/>
      <c r="V234" s="4"/>
      <c r="W234" s="4"/>
      <c r="X234" s="4"/>
      <c r="Y234" s="4"/>
      <c r="Z234" s="4"/>
      <c r="AA234" s="4"/>
    </row>
    <row r="235" spans="1:27">
      <c r="A235" s="85" t="s">
        <v>242</v>
      </c>
      <c r="B235" s="32" t="s">
        <v>132</v>
      </c>
      <c r="C235" s="81" t="s">
        <v>199</v>
      </c>
      <c r="D235" s="81"/>
      <c r="E235" s="81" t="s">
        <v>57</v>
      </c>
      <c r="F235" s="74" t="s">
        <v>26</v>
      </c>
      <c r="G235" s="50">
        <v>4.07</v>
      </c>
      <c r="H235" s="93">
        <v>4.12</v>
      </c>
      <c r="I235" s="50">
        <v>1065</v>
      </c>
      <c r="J235" s="53"/>
      <c r="K235" s="94">
        <f t="shared" si="0"/>
        <v>2.4833333333333334</v>
      </c>
      <c r="L235" s="53">
        <v>149</v>
      </c>
      <c r="M235" s="53">
        <v>1463</v>
      </c>
      <c r="N235" s="53">
        <v>1377</v>
      </c>
      <c r="O235" s="54"/>
      <c r="P235" s="95">
        <f>N235/M235</f>
        <v>0.94121667805878328</v>
      </c>
      <c r="Q235" s="54"/>
      <c r="R235" s="54" t="s">
        <v>16</v>
      </c>
      <c r="S235" s="54"/>
      <c r="T235" s="54"/>
      <c r="V235" s="4"/>
      <c r="W235" s="4"/>
      <c r="X235" s="4"/>
      <c r="Y235" s="4"/>
      <c r="Z235" s="4"/>
      <c r="AA235" s="4"/>
    </row>
    <row r="236" spans="1:27">
      <c r="A236" s="85" t="s">
        <v>248</v>
      </c>
      <c r="B236" s="10" t="s">
        <v>19</v>
      </c>
      <c r="C236" s="68" t="s">
        <v>87</v>
      </c>
      <c r="D236" s="68"/>
      <c r="E236" s="68" t="s">
        <v>218</v>
      </c>
      <c r="F236" s="76" t="s">
        <v>26</v>
      </c>
      <c r="G236" s="96">
        <v>4.53</v>
      </c>
      <c r="H236" s="88">
        <v>4.54</v>
      </c>
      <c r="I236" s="96">
        <v>63</v>
      </c>
      <c r="J236" s="15"/>
      <c r="K236" s="89">
        <f t="shared" si="0"/>
        <v>2.15</v>
      </c>
      <c r="L236" s="15">
        <v>129</v>
      </c>
      <c r="M236" s="15"/>
      <c r="N236" s="15"/>
      <c r="O236" s="4"/>
      <c r="P236" s="4"/>
      <c r="Q236" s="4"/>
      <c r="R236" s="4" t="s">
        <v>16</v>
      </c>
      <c r="S236" s="4"/>
      <c r="T236" s="4"/>
      <c r="V236" s="4"/>
      <c r="W236" s="4"/>
      <c r="X236" s="4"/>
      <c r="Y236" s="4"/>
      <c r="Z236" s="4"/>
      <c r="AA236" s="4"/>
    </row>
    <row r="237" spans="1:27">
      <c r="A237" s="85" t="s">
        <v>248</v>
      </c>
      <c r="B237" s="77" t="s">
        <v>98</v>
      </c>
      <c r="C237" s="68" t="s">
        <v>136</v>
      </c>
      <c r="D237" s="68"/>
      <c r="E237" s="68" t="s">
        <v>219</v>
      </c>
      <c r="F237" s="76" t="s">
        <v>26</v>
      </c>
      <c r="G237" s="96">
        <v>4.51</v>
      </c>
      <c r="H237" s="88">
        <v>4.53</v>
      </c>
      <c r="I237" s="96">
        <v>230</v>
      </c>
      <c r="J237" s="15"/>
      <c r="K237" s="89">
        <f t="shared" si="0"/>
        <v>1.9166666666666667</v>
      </c>
      <c r="L237" s="15">
        <v>115</v>
      </c>
      <c r="M237" s="15"/>
      <c r="N237" s="15"/>
      <c r="O237" s="4"/>
      <c r="P237" s="4"/>
      <c r="Q237" s="4"/>
      <c r="R237" s="4" t="s">
        <v>16</v>
      </c>
      <c r="S237" s="4"/>
      <c r="T237" s="4"/>
      <c r="V237" s="4"/>
      <c r="W237" s="4"/>
      <c r="X237" s="4"/>
      <c r="Y237" s="4"/>
      <c r="Z237" s="4"/>
      <c r="AA237" s="4"/>
    </row>
    <row r="238" spans="1:27">
      <c r="A238" s="85" t="s">
        <v>248</v>
      </c>
      <c r="B238" s="23" t="s">
        <v>27</v>
      </c>
      <c r="C238" s="68" t="s">
        <v>159</v>
      </c>
      <c r="D238" s="68"/>
      <c r="E238" s="68" t="s">
        <v>229</v>
      </c>
      <c r="F238" s="76" t="s">
        <v>26</v>
      </c>
      <c r="G238" s="96">
        <v>4.45</v>
      </c>
      <c r="H238" s="88">
        <v>4.6900000000000004</v>
      </c>
      <c r="I238" s="96">
        <v>148</v>
      </c>
      <c r="J238" s="15"/>
      <c r="K238" s="89">
        <f t="shared" si="0"/>
        <v>1.95</v>
      </c>
      <c r="L238" s="15">
        <v>117</v>
      </c>
      <c r="M238" s="15"/>
      <c r="N238" s="15"/>
      <c r="O238" s="4"/>
      <c r="P238" s="4"/>
      <c r="Q238" s="4"/>
      <c r="R238" s="4" t="s">
        <v>16</v>
      </c>
      <c r="S238" s="4"/>
      <c r="T238" s="4"/>
      <c r="V238" s="4"/>
      <c r="W238" s="4"/>
      <c r="X238" s="4"/>
      <c r="Y238" s="4"/>
      <c r="Z238" s="4"/>
      <c r="AA238" s="4"/>
    </row>
    <row r="239" spans="1:27">
      <c r="A239" s="85" t="s">
        <v>248</v>
      </c>
      <c r="B239" s="68" t="s">
        <v>33</v>
      </c>
      <c r="C239" s="68" t="s">
        <v>188</v>
      </c>
      <c r="D239" s="68"/>
      <c r="E239" s="68" t="s">
        <v>221</v>
      </c>
      <c r="F239" s="76" t="s">
        <v>26</v>
      </c>
      <c r="G239" s="96">
        <v>4.53</v>
      </c>
      <c r="H239" s="88">
        <v>4.58</v>
      </c>
      <c r="I239" s="96">
        <v>338</v>
      </c>
      <c r="J239" s="15"/>
      <c r="K239" s="89">
        <f t="shared" si="0"/>
        <v>1.4</v>
      </c>
      <c r="L239" s="15">
        <v>84</v>
      </c>
      <c r="M239" s="15"/>
      <c r="N239" s="15"/>
      <c r="O239" s="4"/>
      <c r="P239" s="4"/>
      <c r="Q239" s="4"/>
      <c r="R239" s="4" t="s">
        <v>16</v>
      </c>
      <c r="S239" s="4"/>
      <c r="T239" s="4"/>
      <c r="V239" s="4"/>
      <c r="W239" s="4"/>
      <c r="X239" s="4"/>
      <c r="Y239" s="4"/>
      <c r="Z239" s="4"/>
      <c r="AA239" s="4"/>
    </row>
    <row r="240" spans="1:27">
      <c r="A240" s="85" t="s">
        <v>248</v>
      </c>
      <c r="B240" s="68" t="s">
        <v>137</v>
      </c>
      <c r="C240" s="68" t="s">
        <v>249</v>
      </c>
      <c r="D240" s="68"/>
      <c r="E240" s="68" t="s">
        <v>246</v>
      </c>
      <c r="F240" s="76" t="s">
        <v>26</v>
      </c>
      <c r="G240" s="96">
        <v>3.63</v>
      </c>
      <c r="H240" s="88">
        <v>3.81</v>
      </c>
      <c r="I240" s="96">
        <v>476</v>
      </c>
      <c r="J240" s="15"/>
      <c r="K240" s="89">
        <f t="shared" si="0"/>
        <v>1.2666666666666666</v>
      </c>
      <c r="L240" s="15">
        <v>76</v>
      </c>
      <c r="M240" s="15"/>
      <c r="N240" s="15"/>
      <c r="O240" s="4"/>
      <c r="P240" s="4"/>
      <c r="Q240" s="4"/>
      <c r="R240" s="4" t="s">
        <v>16</v>
      </c>
      <c r="S240" s="4"/>
      <c r="T240" s="4"/>
      <c r="V240" s="4"/>
      <c r="W240" s="4"/>
      <c r="X240" s="4"/>
      <c r="Y240" s="4"/>
      <c r="Z240" s="4"/>
      <c r="AA240" s="4"/>
    </row>
    <row r="241" spans="1:27">
      <c r="A241" s="85" t="s">
        <v>248</v>
      </c>
      <c r="B241" s="77" t="s">
        <v>171</v>
      </c>
      <c r="C241" s="77" t="s">
        <v>44</v>
      </c>
      <c r="D241" s="77"/>
      <c r="E241" s="77" t="s">
        <v>250</v>
      </c>
      <c r="F241" s="69" t="s">
        <v>26</v>
      </c>
      <c r="G241" s="97">
        <v>4.26</v>
      </c>
      <c r="H241" s="78">
        <v>4.34</v>
      </c>
      <c r="I241" s="97">
        <v>1224</v>
      </c>
      <c r="J241" s="63"/>
      <c r="K241" s="98">
        <f>124/60</f>
        <v>2.0666666666666669</v>
      </c>
      <c r="L241" s="63">
        <f t="shared" ref="L241:L242" si="8">K241*60</f>
        <v>124.00000000000001</v>
      </c>
      <c r="M241" s="63">
        <v>2294</v>
      </c>
      <c r="N241" s="63">
        <v>2048</v>
      </c>
      <c r="O241" s="73"/>
      <c r="P241" s="79">
        <f t="shared" ref="P241:P242" si="9">N241/M241</f>
        <v>0.89276373147340893</v>
      </c>
      <c r="Q241" s="73"/>
      <c r="R241" s="73" t="s">
        <v>16</v>
      </c>
      <c r="S241" s="73"/>
      <c r="T241" s="73"/>
      <c r="V241" s="4"/>
      <c r="W241" s="4"/>
      <c r="X241" s="4"/>
      <c r="Y241" s="4"/>
      <c r="Z241" s="4"/>
      <c r="AA241" s="4"/>
    </row>
    <row r="242" spans="1:27">
      <c r="A242" s="85" t="s">
        <v>248</v>
      </c>
      <c r="B242" s="61" t="s">
        <v>81</v>
      </c>
      <c r="C242" s="81" t="s">
        <v>123</v>
      </c>
      <c r="D242" s="81"/>
      <c r="E242" s="81" t="s">
        <v>57</v>
      </c>
      <c r="F242" s="74" t="s">
        <v>26</v>
      </c>
      <c r="G242" s="99">
        <v>4.41</v>
      </c>
      <c r="H242" s="93">
        <v>4.51</v>
      </c>
      <c r="I242" s="99">
        <v>1027</v>
      </c>
      <c r="J242" s="53"/>
      <c r="K242" s="100">
        <f>136/60</f>
        <v>2.2666666666666666</v>
      </c>
      <c r="L242" s="53">
        <f t="shared" si="8"/>
        <v>136</v>
      </c>
      <c r="M242" s="53">
        <v>1645</v>
      </c>
      <c r="N242" s="53">
        <v>1565</v>
      </c>
      <c r="O242" s="54"/>
      <c r="P242" s="95">
        <f t="shared" si="9"/>
        <v>0.95136778115501519</v>
      </c>
      <c r="Q242" s="54"/>
      <c r="R242" s="54"/>
      <c r="S242" s="54"/>
      <c r="T242" s="54"/>
      <c r="V242" s="4"/>
      <c r="W242" s="4"/>
      <c r="X242" s="4"/>
      <c r="Y242" s="4"/>
      <c r="Z242" s="4"/>
      <c r="AA242" s="4"/>
    </row>
    <row r="243" spans="1:27">
      <c r="A243" s="101">
        <v>45977</v>
      </c>
      <c r="B243" s="68" t="s">
        <v>98</v>
      </c>
      <c r="C243" s="58" t="s">
        <v>172</v>
      </c>
      <c r="D243" s="58"/>
      <c r="E243" s="58" t="s">
        <v>219</v>
      </c>
      <c r="F243" s="76" t="s">
        <v>26</v>
      </c>
      <c r="G243" s="47">
        <v>4.5599999999999996</v>
      </c>
      <c r="H243" s="12">
        <v>4.6399999999999997</v>
      </c>
      <c r="I243" s="47">
        <v>126</v>
      </c>
      <c r="J243" s="15"/>
      <c r="K243" s="102">
        <f t="shared" ref="K243:K246" si="10">L243/60</f>
        <v>1.9666666666666666</v>
      </c>
      <c r="L243" s="15">
        <v>118</v>
      </c>
      <c r="M243" s="15"/>
      <c r="N243" s="15"/>
      <c r="O243" s="4"/>
      <c r="P243" s="4"/>
      <c r="Q243" s="4"/>
      <c r="R243" s="4"/>
      <c r="S243" s="4"/>
      <c r="T243" s="4"/>
      <c r="V243" s="4"/>
      <c r="W243" s="4"/>
      <c r="X243" s="4"/>
      <c r="Y243" s="4"/>
      <c r="Z243" s="4"/>
      <c r="AA243" s="4"/>
    </row>
    <row r="244" spans="1:27">
      <c r="A244" s="101">
        <v>45977</v>
      </c>
      <c r="B244" s="26" t="s">
        <v>58</v>
      </c>
      <c r="C244" s="58" t="s">
        <v>167</v>
      </c>
      <c r="D244" s="58"/>
      <c r="E244" s="58" t="s">
        <v>229</v>
      </c>
      <c r="F244" s="76" t="s">
        <v>26</v>
      </c>
      <c r="G244" s="47">
        <v>4.66</v>
      </c>
      <c r="H244" s="12">
        <v>4.67</v>
      </c>
      <c r="I244" s="47">
        <v>115</v>
      </c>
      <c r="J244" s="15"/>
      <c r="K244" s="102">
        <f t="shared" si="10"/>
        <v>1.7166666666666666</v>
      </c>
      <c r="L244" s="15">
        <v>103</v>
      </c>
      <c r="M244" s="15"/>
      <c r="N244" s="15"/>
      <c r="O244" s="4"/>
      <c r="P244" s="4"/>
      <c r="Q244" s="4"/>
      <c r="R244" s="4"/>
      <c r="S244" s="4"/>
      <c r="T244" s="4"/>
      <c r="V244" s="4"/>
      <c r="W244" s="4"/>
      <c r="X244" s="4"/>
      <c r="Y244" s="4"/>
      <c r="Z244" s="4"/>
      <c r="AA244" s="4"/>
    </row>
    <row r="245" spans="1:27">
      <c r="A245" s="101">
        <v>45977</v>
      </c>
      <c r="B245" s="31" t="s">
        <v>132</v>
      </c>
      <c r="C245" s="58" t="s">
        <v>251</v>
      </c>
      <c r="D245" s="58"/>
      <c r="E245" s="58" t="s">
        <v>221</v>
      </c>
      <c r="F245" s="76" t="s">
        <v>26</v>
      </c>
      <c r="G245" s="47">
        <v>4.53</v>
      </c>
      <c r="H245" s="12">
        <v>4.57</v>
      </c>
      <c r="I245" s="47">
        <v>484</v>
      </c>
      <c r="J245" s="15"/>
      <c r="K245" s="102">
        <f t="shared" si="10"/>
        <v>1.7166666666666666</v>
      </c>
      <c r="L245" s="15">
        <v>103</v>
      </c>
      <c r="M245" s="15"/>
      <c r="N245" s="15"/>
      <c r="O245" s="4"/>
      <c r="P245" s="4"/>
      <c r="Q245" s="4"/>
      <c r="R245" s="4"/>
      <c r="S245" s="4"/>
      <c r="T245" s="4"/>
      <c r="V245" s="4"/>
      <c r="W245" s="4"/>
      <c r="X245" s="4"/>
      <c r="Y245" s="4"/>
      <c r="Z245" s="4"/>
      <c r="AA245" s="4"/>
    </row>
    <row r="246" spans="1:27">
      <c r="A246" s="101">
        <v>45977</v>
      </c>
      <c r="B246" s="58" t="s">
        <v>168</v>
      </c>
      <c r="C246" s="58" t="s">
        <v>84</v>
      </c>
      <c r="D246" s="58"/>
      <c r="E246" s="58" t="s">
        <v>250</v>
      </c>
      <c r="F246" s="76" t="s">
        <v>26</v>
      </c>
      <c r="G246" s="47">
        <v>4.33</v>
      </c>
      <c r="H246" s="12">
        <v>4.38</v>
      </c>
      <c r="I246" s="47">
        <v>748</v>
      </c>
      <c r="J246" s="15"/>
      <c r="K246" s="102">
        <f t="shared" si="10"/>
        <v>2.3666666666666667</v>
      </c>
      <c r="L246" s="15">
        <v>142</v>
      </c>
      <c r="M246" s="15">
        <v>2103</v>
      </c>
      <c r="N246" s="15">
        <v>1902</v>
      </c>
      <c r="O246" s="4"/>
      <c r="P246" s="59">
        <f>N246/M246</f>
        <v>0.90442225392296716</v>
      </c>
      <c r="Q246" s="4"/>
      <c r="R246" s="4"/>
      <c r="S246" s="4"/>
      <c r="T246" s="4"/>
      <c r="V246" s="4"/>
      <c r="W246" s="4"/>
      <c r="X246" s="4"/>
      <c r="Y246" s="4"/>
      <c r="Z246" s="4"/>
      <c r="AA246" s="4"/>
    </row>
    <row r="247" spans="1:27">
      <c r="A247" s="101">
        <v>45976</v>
      </c>
      <c r="B247" s="77" t="s">
        <v>98</v>
      </c>
      <c r="C247" s="58" t="s">
        <v>99</v>
      </c>
      <c r="D247" s="68"/>
      <c r="E247" s="68" t="s">
        <v>218</v>
      </c>
      <c r="F247" s="76" t="s">
        <v>26</v>
      </c>
      <c r="G247" s="47">
        <v>4.45</v>
      </c>
      <c r="H247" s="12">
        <v>4.5199999999999996</v>
      </c>
      <c r="I247" s="47">
        <v>72</v>
      </c>
      <c r="J247" s="15"/>
      <c r="K247" s="102">
        <f>77/60</f>
        <v>1.2833333333333334</v>
      </c>
      <c r="L247" s="15">
        <v>77</v>
      </c>
      <c r="M247" s="15"/>
      <c r="N247" s="15"/>
      <c r="O247" s="4"/>
      <c r="P247" s="4"/>
      <c r="Q247" s="4"/>
      <c r="R247" s="4"/>
      <c r="S247" s="4"/>
      <c r="T247" s="4"/>
      <c r="V247" s="4"/>
      <c r="W247" s="4"/>
      <c r="X247" s="4"/>
      <c r="Y247" s="4"/>
      <c r="Z247" s="4"/>
      <c r="AA247" s="4"/>
    </row>
    <row r="248" spans="1:27">
      <c r="A248" s="101">
        <v>45976</v>
      </c>
      <c r="B248" s="81" t="s">
        <v>151</v>
      </c>
      <c r="C248" s="58" t="s">
        <v>152</v>
      </c>
      <c r="D248" s="68"/>
      <c r="E248" s="68" t="s">
        <v>219</v>
      </c>
      <c r="F248" s="76" t="s">
        <v>26</v>
      </c>
      <c r="G248" s="47">
        <v>4.0999999999999996</v>
      </c>
      <c r="H248" s="12">
        <v>4.21</v>
      </c>
      <c r="I248" s="47">
        <v>239</v>
      </c>
      <c r="J248" s="15"/>
      <c r="K248" s="102">
        <f t="shared" ref="K248:K250" si="11">L248/60</f>
        <v>1.1166666666666667</v>
      </c>
      <c r="L248" s="15">
        <v>67</v>
      </c>
      <c r="M248" s="15"/>
      <c r="N248" s="15"/>
      <c r="O248" s="4"/>
      <c r="P248" s="4"/>
      <c r="Q248" s="4"/>
      <c r="R248" s="4"/>
      <c r="S248" s="4"/>
      <c r="T248" s="4"/>
      <c r="V248" s="4"/>
      <c r="W248" s="4"/>
      <c r="X248" s="4"/>
      <c r="Y248" s="4"/>
      <c r="Z248" s="4"/>
      <c r="AA248" s="4"/>
    </row>
    <row r="249" spans="1:27">
      <c r="A249" s="101">
        <v>45976</v>
      </c>
      <c r="B249" s="23" t="s">
        <v>58</v>
      </c>
      <c r="C249" s="58" t="s">
        <v>169</v>
      </c>
      <c r="D249" s="68"/>
      <c r="E249" s="68" t="s">
        <v>229</v>
      </c>
      <c r="F249" s="76" t="s">
        <v>26</v>
      </c>
      <c r="G249" s="47">
        <v>4.54</v>
      </c>
      <c r="H249" s="12">
        <v>4.6100000000000003</v>
      </c>
      <c r="I249" s="47">
        <v>124</v>
      </c>
      <c r="J249" s="15"/>
      <c r="K249" s="102">
        <f t="shared" si="11"/>
        <v>2</v>
      </c>
      <c r="L249" s="15">
        <v>120</v>
      </c>
      <c r="M249" s="15"/>
      <c r="N249" s="15"/>
      <c r="O249" s="4"/>
      <c r="P249" s="4"/>
      <c r="Q249" s="4"/>
      <c r="R249" s="4"/>
      <c r="S249" s="4"/>
      <c r="T249" s="4"/>
      <c r="V249" s="4"/>
      <c r="W249" s="4"/>
      <c r="X249" s="4"/>
      <c r="Y249" s="4"/>
      <c r="Z249" s="4"/>
      <c r="AA249" s="4"/>
    </row>
    <row r="250" spans="1:27">
      <c r="A250" s="101">
        <v>45976</v>
      </c>
      <c r="B250" s="32" t="s">
        <v>132</v>
      </c>
      <c r="C250" s="58" t="s">
        <v>252</v>
      </c>
      <c r="D250" s="68"/>
      <c r="E250" s="68" t="s">
        <v>221</v>
      </c>
      <c r="F250" s="76" t="s">
        <v>26</v>
      </c>
      <c r="G250" s="47">
        <v>4.4800000000000004</v>
      </c>
      <c r="H250" s="12">
        <v>4.54</v>
      </c>
      <c r="I250" s="47">
        <v>597</v>
      </c>
      <c r="J250" s="15"/>
      <c r="K250" s="102">
        <f t="shared" si="11"/>
        <v>1.8666666666666667</v>
      </c>
      <c r="L250" s="15">
        <v>112</v>
      </c>
      <c r="M250" s="15"/>
      <c r="N250" s="15"/>
      <c r="O250" s="4"/>
      <c r="P250" s="4"/>
      <c r="Q250" s="4"/>
      <c r="R250" s="4"/>
      <c r="S250" s="4"/>
      <c r="T250" s="4"/>
      <c r="V250" s="4"/>
      <c r="W250" s="4"/>
      <c r="X250" s="4"/>
      <c r="Y250" s="4"/>
      <c r="Z250" s="4"/>
      <c r="AA250" s="4"/>
    </row>
    <row r="251" spans="1:27">
      <c r="A251" s="101">
        <v>45976</v>
      </c>
      <c r="B251" s="77" t="s">
        <v>33</v>
      </c>
      <c r="C251" s="58" t="s">
        <v>253</v>
      </c>
      <c r="D251" s="68"/>
      <c r="E251" s="68" t="s">
        <v>224</v>
      </c>
      <c r="F251" s="76" t="s">
        <v>26</v>
      </c>
      <c r="G251" s="47">
        <v>4.54</v>
      </c>
      <c r="H251" s="12">
        <v>4.59</v>
      </c>
      <c r="I251" s="47">
        <v>475</v>
      </c>
      <c r="J251" s="15"/>
      <c r="K251" s="102">
        <f>73/60</f>
        <v>1.2166666666666666</v>
      </c>
      <c r="L251" s="15">
        <v>73</v>
      </c>
      <c r="M251" s="15"/>
      <c r="N251" s="15"/>
      <c r="O251" s="4"/>
      <c r="P251" s="4"/>
      <c r="Q251" s="4"/>
      <c r="R251" s="4"/>
      <c r="S251" s="4"/>
      <c r="T251" s="4"/>
      <c r="V251" s="4"/>
      <c r="W251" s="4"/>
      <c r="X251" s="4"/>
      <c r="Y251" s="4"/>
      <c r="Z251" s="4"/>
      <c r="AA251" s="4"/>
    </row>
    <row r="252" spans="1:27">
      <c r="A252" s="101">
        <v>45976</v>
      </c>
      <c r="B252" s="81" t="s">
        <v>171</v>
      </c>
      <c r="C252" s="58" t="s">
        <v>249</v>
      </c>
      <c r="D252" s="68"/>
      <c r="E252" s="68" t="s">
        <v>246</v>
      </c>
      <c r="F252" s="76" t="s">
        <v>26</v>
      </c>
      <c r="G252" s="47">
        <v>4.49</v>
      </c>
      <c r="H252" s="12">
        <v>4.51</v>
      </c>
      <c r="I252" s="47">
        <v>1151</v>
      </c>
      <c r="J252" s="15"/>
      <c r="K252" s="102">
        <f>101/60</f>
        <v>1.6833333333333333</v>
      </c>
      <c r="L252" s="15">
        <v>101</v>
      </c>
      <c r="M252" s="15"/>
      <c r="N252" s="15"/>
      <c r="O252" s="4"/>
      <c r="P252" s="4"/>
      <c r="Q252" s="4"/>
      <c r="R252" s="4"/>
      <c r="S252" s="4"/>
      <c r="T252" s="4"/>
      <c r="V252" s="4"/>
      <c r="W252" s="4"/>
      <c r="X252" s="4"/>
      <c r="Y252" s="4"/>
      <c r="Z252" s="4"/>
      <c r="AA252" s="4"/>
    </row>
    <row r="253" spans="1:27">
      <c r="A253" s="101">
        <v>45976</v>
      </c>
      <c r="B253" s="77" t="s">
        <v>168</v>
      </c>
      <c r="C253" s="77" t="s">
        <v>183</v>
      </c>
      <c r="D253" s="77"/>
      <c r="E253" s="77" t="s">
        <v>250</v>
      </c>
      <c r="F253" s="76" t="s">
        <v>26</v>
      </c>
      <c r="G253" s="47">
        <v>4.21</v>
      </c>
      <c r="H253" s="12">
        <v>4.24</v>
      </c>
      <c r="I253" s="47">
        <v>1212</v>
      </c>
      <c r="J253" s="15"/>
      <c r="K253" s="102">
        <f>97/60</f>
        <v>1.6166666666666667</v>
      </c>
      <c r="L253" s="15">
        <v>97</v>
      </c>
      <c r="M253" s="15">
        <v>2382</v>
      </c>
      <c r="O253" s="15">
        <v>2357</v>
      </c>
      <c r="P253" s="59">
        <f>O253/M253</f>
        <v>0.98950461796809408</v>
      </c>
      <c r="Q253" s="4"/>
      <c r="R253" s="4"/>
      <c r="S253" s="4"/>
      <c r="T253" s="4"/>
      <c r="V253" s="4"/>
      <c r="W253" s="4"/>
      <c r="X253" s="4"/>
      <c r="Y253" s="4"/>
      <c r="Z253" s="4"/>
      <c r="AA253" s="4"/>
    </row>
    <row r="254" spans="1:27">
      <c r="A254" s="101">
        <v>45970</v>
      </c>
      <c r="B254" s="58" t="s">
        <v>81</v>
      </c>
      <c r="C254" s="68" t="s">
        <v>254</v>
      </c>
      <c r="D254" s="103"/>
      <c r="E254" s="103" t="s">
        <v>154</v>
      </c>
      <c r="F254" s="76" t="s">
        <v>26</v>
      </c>
      <c r="G254" s="47">
        <v>4.5</v>
      </c>
      <c r="H254" s="12">
        <v>4.63</v>
      </c>
      <c r="I254" s="47">
        <v>748</v>
      </c>
      <c r="J254" s="15"/>
      <c r="K254" s="102"/>
      <c r="L254" s="15"/>
      <c r="M254" s="15">
        <v>1312</v>
      </c>
      <c r="N254" s="15">
        <v>968</v>
      </c>
      <c r="O254" s="4"/>
      <c r="P254" s="59">
        <f>N254/M254</f>
        <v>0.73780487804878048</v>
      </c>
      <c r="Q254" s="4"/>
      <c r="R254" s="4"/>
      <c r="S254" s="4"/>
      <c r="T254" s="4"/>
      <c r="V254" s="4"/>
      <c r="W254" s="4"/>
      <c r="X254" s="4"/>
      <c r="Y254" s="4"/>
      <c r="Z254" s="4"/>
      <c r="AA254" s="4"/>
    </row>
    <row r="255" spans="1:27">
      <c r="A255" s="101">
        <v>45970</v>
      </c>
      <c r="B255" s="77" t="s">
        <v>98</v>
      </c>
      <c r="C255" s="68" t="s">
        <v>255</v>
      </c>
      <c r="D255" s="77"/>
      <c r="E255" s="77" t="s">
        <v>218</v>
      </c>
      <c r="F255" s="69" t="s">
        <v>26</v>
      </c>
      <c r="G255" s="36">
        <v>4.74</v>
      </c>
      <c r="H255" s="36">
        <v>4.72</v>
      </c>
      <c r="I255" s="36">
        <v>59</v>
      </c>
      <c r="J255" s="15"/>
      <c r="K255" s="102"/>
      <c r="L255" s="15"/>
      <c r="M255" s="15"/>
      <c r="N255" s="15"/>
      <c r="O255" s="4"/>
      <c r="P255" s="4"/>
      <c r="Q255" s="4"/>
      <c r="R255" s="4"/>
      <c r="S255" s="4"/>
      <c r="T255" s="4"/>
      <c r="V255" s="4"/>
      <c r="W255" s="4"/>
      <c r="X255" s="4"/>
      <c r="Y255" s="4"/>
      <c r="Z255" s="4"/>
      <c r="AA255" s="4"/>
    </row>
    <row r="256" spans="1:27">
      <c r="A256" s="101">
        <v>45970</v>
      </c>
      <c r="B256" s="81" t="s">
        <v>155</v>
      </c>
      <c r="C256" s="68" t="s">
        <v>156</v>
      </c>
      <c r="D256" s="81"/>
      <c r="E256" s="81" t="s">
        <v>219</v>
      </c>
      <c r="F256" s="74" t="s">
        <v>26</v>
      </c>
      <c r="G256" s="41">
        <v>4.49</v>
      </c>
      <c r="H256" s="104">
        <v>4.51</v>
      </c>
      <c r="I256" s="41">
        <v>215</v>
      </c>
      <c r="J256" s="15"/>
      <c r="K256" s="102"/>
      <c r="L256" s="15"/>
      <c r="M256" s="15"/>
      <c r="N256" s="15"/>
      <c r="O256" s="4"/>
      <c r="P256" s="4"/>
      <c r="Q256" s="4"/>
      <c r="R256" s="4"/>
      <c r="S256" s="4"/>
      <c r="T256" s="4"/>
      <c r="V256" s="4"/>
      <c r="W256" s="4"/>
      <c r="X256" s="4"/>
      <c r="Y256" s="4"/>
      <c r="Z256" s="4"/>
      <c r="AA256" s="4"/>
    </row>
    <row r="257" spans="1:27">
      <c r="A257" s="101">
        <v>45970</v>
      </c>
      <c r="B257" s="23" t="s">
        <v>58</v>
      </c>
      <c r="C257" s="68" t="s">
        <v>163</v>
      </c>
      <c r="D257" s="77"/>
      <c r="E257" s="77" t="s">
        <v>229</v>
      </c>
      <c r="F257" s="69" t="s">
        <v>26</v>
      </c>
      <c r="G257" s="36">
        <v>4.33</v>
      </c>
      <c r="H257" s="91">
        <v>4.4800000000000004</v>
      </c>
      <c r="I257" s="36">
        <v>114</v>
      </c>
      <c r="J257" s="15"/>
      <c r="K257" s="102"/>
      <c r="L257" s="15"/>
      <c r="M257" s="15"/>
      <c r="N257" s="15"/>
      <c r="O257" s="4"/>
      <c r="P257" s="4"/>
      <c r="Q257" s="4"/>
      <c r="R257" s="4"/>
      <c r="S257" s="4"/>
      <c r="T257" s="4"/>
      <c r="V257" s="4"/>
      <c r="W257" s="4"/>
      <c r="X257" s="4"/>
      <c r="Y257" s="4"/>
      <c r="Z257" s="4"/>
      <c r="AA257" s="4"/>
    </row>
    <row r="258" spans="1:27">
      <c r="A258" s="101">
        <v>45970</v>
      </c>
      <c r="B258" s="32" t="s">
        <v>132</v>
      </c>
      <c r="C258" s="68" t="s">
        <v>256</v>
      </c>
      <c r="D258" s="81"/>
      <c r="E258" s="81" t="s">
        <v>257</v>
      </c>
      <c r="F258" s="74" t="s">
        <v>26</v>
      </c>
      <c r="G258" s="41">
        <v>4.47</v>
      </c>
      <c r="H258" s="84">
        <v>4.57</v>
      </c>
      <c r="I258" s="41">
        <v>391</v>
      </c>
      <c r="J258" s="15"/>
      <c r="K258" s="102"/>
      <c r="L258" s="15"/>
      <c r="M258" s="15"/>
      <c r="N258" s="15"/>
      <c r="O258" s="4"/>
      <c r="P258" s="4"/>
      <c r="Q258" s="4"/>
      <c r="R258" s="4"/>
      <c r="S258" s="4"/>
      <c r="T258" s="4"/>
      <c r="V258" s="4"/>
      <c r="W258" s="4"/>
      <c r="X258" s="4"/>
      <c r="Y258" s="4"/>
      <c r="Z258" s="4"/>
      <c r="AA258" s="4"/>
    </row>
    <row r="259" spans="1:27">
      <c r="A259" s="101">
        <v>45970</v>
      </c>
      <c r="B259" s="55" t="s">
        <v>81</v>
      </c>
      <c r="C259" s="68" t="s">
        <v>102</v>
      </c>
      <c r="D259" s="77"/>
      <c r="E259" s="77" t="s">
        <v>224</v>
      </c>
      <c r="F259" s="105" t="s">
        <v>258</v>
      </c>
      <c r="G259" s="70">
        <v>4.5</v>
      </c>
      <c r="H259" s="70">
        <v>4.62</v>
      </c>
      <c r="I259" s="70">
        <v>128</v>
      </c>
      <c r="J259" s="15"/>
      <c r="K259" s="102"/>
      <c r="L259" s="15"/>
      <c r="M259" s="15"/>
      <c r="N259" s="15"/>
      <c r="O259" s="4"/>
      <c r="P259" s="4"/>
      <c r="Q259" s="4"/>
      <c r="R259" s="4"/>
      <c r="S259" s="4"/>
      <c r="T259" s="4"/>
      <c r="V259" s="4"/>
      <c r="W259" s="4"/>
      <c r="X259" s="4"/>
      <c r="Y259" s="4"/>
      <c r="Z259" s="4"/>
      <c r="AA259" s="4"/>
    </row>
    <row r="260" spans="1:27">
      <c r="A260" s="101" t="s">
        <v>259</v>
      </c>
      <c r="B260" s="26" t="s">
        <v>47</v>
      </c>
      <c r="C260" s="68" t="s">
        <v>260</v>
      </c>
      <c r="D260" s="68"/>
      <c r="E260" s="68" t="s">
        <v>261</v>
      </c>
      <c r="F260" s="74" t="s">
        <v>26</v>
      </c>
      <c r="G260" s="50">
        <v>4.6399999999999997</v>
      </c>
      <c r="H260" s="50">
        <v>4.82</v>
      </c>
      <c r="I260" s="47">
        <v>28</v>
      </c>
      <c r="J260" s="15"/>
      <c r="K260" s="102"/>
      <c r="L260" s="15"/>
      <c r="M260" s="15"/>
      <c r="N260" s="15"/>
      <c r="O260" s="4"/>
      <c r="P260" s="4"/>
      <c r="Q260" s="4"/>
      <c r="R260" s="4"/>
      <c r="S260" s="4"/>
      <c r="T260" s="4"/>
      <c r="V260" s="4"/>
      <c r="W260" s="4"/>
      <c r="X260" s="4"/>
      <c r="Y260" s="4"/>
      <c r="Z260" s="4"/>
      <c r="AA260" s="4"/>
    </row>
    <row r="261" spans="1:27">
      <c r="A261" s="101" t="s">
        <v>259</v>
      </c>
      <c r="B261" s="77" t="s">
        <v>98</v>
      </c>
      <c r="C261" s="77" t="s">
        <v>124</v>
      </c>
      <c r="D261" s="77"/>
      <c r="E261" s="77" t="s">
        <v>218</v>
      </c>
      <c r="F261" s="69" t="s">
        <v>26</v>
      </c>
      <c r="G261" s="97">
        <v>4.7</v>
      </c>
      <c r="H261" s="97">
        <v>4.5999999999999996</v>
      </c>
      <c r="I261" s="97">
        <v>10</v>
      </c>
      <c r="J261" s="63"/>
      <c r="K261" s="106"/>
      <c r="L261" s="63"/>
      <c r="M261" s="63"/>
      <c r="N261" s="63"/>
      <c r="O261" s="73"/>
      <c r="P261" s="73"/>
      <c r="Q261" s="73"/>
      <c r="R261" s="73"/>
      <c r="S261" s="73"/>
      <c r="T261" s="73"/>
      <c r="V261" s="4"/>
      <c r="W261" s="4"/>
      <c r="X261" s="4"/>
      <c r="Y261" s="4"/>
      <c r="Z261" s="4"/>
      <c r="AA261" s="4"/>
    </row>
    <row r="262" spans="1:27">
      <c r="A262" s="101" t="s">
        <v>259</v>
      </c>
      <c r="B262" s="24" t="s">
        <v>58</v>
      </c>
      <c r="C262" s="81" t="s">
        <v>193</v>
      </c>
      <c r="D262" s="81"/>
      <c r="E262" s="81" t="s">
        <v>219</v>
      </c>
      <c r="F262" s="74" t="s">
        <v>26</v>
      </c>
      <c r="G262" s="99">
        <v>4.51</v>
      </c>
      <c r="H262" s="99">
        <v>4.53</v>
      </c>
      <c r="I262" s="99">
        <v>145</v>
      </c>
      <c r="J262" s="53"/>
      <c r="K262" s="107"/>
      <c r="L262" s="53"/>
      <c r="M262" s="53"/>
      <c r="N262" s="53"/>
      <c r="O262" s="54"/>
      <c r="P262" s="54"/>
      <c r="Q262" s="54"/>
      <c r="R262" s="54"/>
      <c r="S262" s="54"/>
      <c r="T262" s="54"/>
      <c r="V262" s="4"/>
      <c r="W262" s="4"/>
      <c r="X262" s="4"/>
      <c r="Y262" s="4"/>
      <c r="Z262" s="4"/>
      <c r="AA262" s="4"/>
    </row>
    <row r="263" spans="1:27">
      <c r="A263" s="101" t="s">
        <v>259</v>
      </c>
      <c r="B263" s="68" t="s">
        <v>141</v>
      </c>
      <c r="C263" s="68" t="s">
        <v>173</v>
      </c>
      <c r="D263" s="68"/>
      <c r="E263" s="68" t="s">
        <v>229</v>
      </c>
      <c r="F263" s="108" t="s">
        <v>258</v>
      </c>
      <c r="G263" s="96">
        <v>4.46</v>
      </c>
      <c r="H263" s="99">
        <v>4.55</v>
      </c>
      <c r="I263" s="96">
        <v>52</v>
      </c>
      <c r="J263" s="15"/>
      <c r="K263" s="102"/>
      <c r="L263" s="15"/>
      <c r="M263" s="15"/>
      <c r="N263" s="15"/>
      <c r="O263" s="4"/>
      <c r="P263" s="4"/>
      <c r="Q263" s="4"/>
      <c r="R263" s="4"/>
      <c r="S263" s="4"/>
      <c r="T263" s="4"/>
      <c r="V263" s="4"/>
      <c r="W263" s="4"/>
      <c r="X263" s="4"/>
      <c r="Y263" s="4"/>
      <c r="Z263" s="4"/>
      <c r="AA263" s="4"/>
    </row>
    <row r="264" spans="1:27">
      <c r="A264" s="101" t="s">
        <v>259</v>
      </c>
      <c r="B264" s="68" t="s">
        <v>33</v>
      </c>
      <c r="C264" s="77" t="s">
        <v>262</v>
      </c>
      <c r="D264" s="77"/>
      <c r="E264" s="77" t="s">
        <v>257</v>
      </c>
      <c r="F264" s="77" t="s">
        <v>22</v>
      </c>
      <c r="G264" s="97">
        <v>4.5</v>
      </c>
      <c r="H264" s="97">
        <v>4.6500000000000004</v>
      </c>
      <c r="I264" s="96">
        <v>20</v>
      </c>
      <c r="J264" s="15"/>
      <c r="K264" s="102"/>
      <c r="L264" s="15"/>
      <c r="M264" s="15"/>
      <c r="N264" s="15"/>
      <c r="O264" s="4"/>
      <c r="P264" s="4"/>
      <c r="Q264" s="4"/>
      <c r="R264" s="4"/>
      <c r="S264" s="4"/>
      <c r="T264" s="4"/>
      <c r="V264" s="4"/>
      <c r="W264" s="4"/>
      <c r="X264" s="4"/>
      <c r="Y264" s="4"/>
      <c r="Z264" s="4"/>
      <c r="AA264" s="4"/>
    </row>
    <row r="265" spans="1:27">
      <c r="A265" s="101" t="s">
        <v>259</v>
      </c>
      <c r="B265" s="58" t="s">
        <v>81</v>
      </c>
      <c r="C265" s="81" t="s">
        <v>114</v>
      </c>
      <c r="D265" s="81"/>
      <c r="E265" s="81" t="s">
        <v>224</v>
      </c>
      <c r="F265" s="109" t="s">
        <v>258</v>
      </c>
      <c r="G265" s="99">
        <v>4.5999999999999996</v>
      </c>
      <c r="H265" s="99">
        <v>4.74</v>
      </c>
      <c r="I265" s="96">
        <v>174</v>
      </c>
      <c r="J265" s="15"/>
      <c r="K265" s="102"/>
      <c r="L265" s="15"/>
      <c r="M265" s="15"/>
      <c r="N265" s="15"/>
      <c r="O265" s="4"/>
      <c r="P265" s="4"/>
      <c r="Q265" s="4"/>
      <c r="R265" s="4"/>
      <c r="S265" s="4"/>
      <c r="T265" s="4"/>
      <c r="V265" s="4"/>
      <c r="W265" s="4"/>
      <c r="X265" s="4"/>
      <c r="Y265" s="4"/>
      <c r="Z265" s="4"/>
      <c r="AA265" s="4"/>
    </row>
    <row r="266" spans="1:27">
      <c r="A266" s="101" t="s">
        <v>259</v>
      </c>
      <c r="B266" s="58" t="s">
        <v>81</v>
      </c>
      <c r="C266" s="110" t="s">
        <v>263</v>
      </c>
      <c r="D266" s="111"/>
      <c r="E266" s="111" t="s">
        <v>154</v>
      </c>
      <c r="F266" s="69" t="s">
        <v>26</v>
      </c>
      <c r="G266" s="97">
        <v>4.47</v>
      </c>
      <c r="H266" s="97">
        <v>4.6100000000000003</v>
      </c>
      <c r="I266" s="96">
        <v>631</v>
      </c>
      <c r="J266" s="15"/>
      <c r="K266" s="102"/>
      <c r="L266" s="15"/>
      <c r="M266" s="15">
        <v>1481</v>
      </c>
      <c r="N266" s="15">
        <v>1434</v>
      </c>
      <c r="O266" s="4"/>
      <c r="P266" s="59">
        <f>N266/M266</f>
        <v>0.96826468602295745</v>
      </c>
      <c r="Q266" s="4"/>
      <c r="R266" s="4"/>
      <c r="S266" s="4"/>
      <c r="T266" s="4"/>
      <c r="V266" s="4"/>
      <c r="W266" s="4"/>
      <c r="X266" s="4"/>
      <c r="Y266" s="4"/>
      <c r="Z266" s="4"/>
      <c r="AA266" s="4"/>
    </row>
    <row r="267" spans="1:27">
      <c r="A267" s="112">
        <v>45963</v>
      </c>
      <c r="B267" s="77" t="s">
        <v>98</v>
      </c>
      <c r="C267" s="77" t="s">
        <v>136</v>
      </c>
      <c r="D267" s="77"/>
      <c r="E267" s="77" t="s">
        <v>218</v>
      </c>
      <c r="F267" s="68" t="s">
        <v>187</v>
      </c>
      <c r="G267" s="96">
        <v>4.72</v>
      </c>
      <c r="H267" s="96">
        <v>4.7699999999999996</v>
      </c>
      <c r="I267" s="96">
        <v>40</v>
      </c>
      <c r="J267" s="15"/>
      <c r="K267" s="102"/>
      <c r="L267" s="15"/>
      <c r="M267" s="15"/>
      <c r="N267" s="15"/>
      <c r="O267" s="4"/>
      <c r="P267" s="4"/>
      <c r="Q267" s="4"/>
      <c r="R267" s="4"/>
      <c r="S267" s="4"/>
      <c r="T267" s="4"/>
      <c r="V267" s="4"/>
      <c r="W267" s="4"/>
      <c r="X267" s="4"/>
      <c r="Y267" s="4"/>
      <c r="Z267" s="4"/>
      <c r="AA267" s="4"/>
    </row>
    <row r="268" spans="1:27">
      <c r="A268" s="112">
        <v>45963</v>
      </c>
      <c r="B268" s="24" t="s">
        <v>27</v>
      </c>
      <c r="C268" s="81" t="s">
        <v>159</v>
      </c>
      <c r="D268" s="81"/>
      <c r="E268" s="81" t="s">
        <v>219</v>
      </c>
      <c r="F268" s="68" t="s">
        <v>187</v>
      </c>
      <c r="G268" s="96">
        <v>4.6900000000000004</v>
      </c>
      <c r="H268" s="96">
        <v>4.79</v>
      </c>
      <c r="I268" s="96">
        <v>49</v>
      </c>
      <c r="J268" s="15"/>
      <c r="K268" s="102"/>
      <c r="L268" s="15"/>
      <c r="M268" s="15"/>
      <c r="N268" s="15"/>
      <c r="O268" s="4"/>
      <c r="P268" s="4"/>
      <c r="Q268" s="4"/>
      <c r="R268" s="4"/>
      <c r="S268" s="4"/>
      <c r="T268" s="4"/>
      <c r="V268" s="4"/>
      <c r="W268" s="4"/>
      <c r="X268" s="4"/>
      <c r="Y268" s="4"/>
      <c r="Z268" s="4"/>
      <c r="AA268" s="4"/>
    </row>
    <row r="269" spans="1:27">
      <c r="A269" s="112">
        <v>45963</v>
      </c>
      <c r="B269" s="62" t="s">
        <v>77</v>
      </c>
      <c r="C269" s="77" t="s">
        <v>264</v>
      </c>
      <c r="D269" s="77"/>
      <c r="E269" s="77" t="s">
        <v>229</v>
      </c>
      <c r="F269" s="68" t="s">
        <v>187</v>
      </c>
      <c r="G269" s="96">
        <v>4.7300000000000004</v>
      </c>
      <c r="H269" s="96">
        <v>4.83</v>
      </c>
      <c r="I269" s="96">
        <v>42</v>
      </c>
      <c r="J269" s="15"/>
      <c r="K269" s="102"/>
      <c r="L269" s="15"/>
      <c r="M269" s="15"/>
      <c r="N269" s="15"/>
      <c r="O269" s="4"/>
      <c r="P269" s="4"/>
      <c r="Q269" s="4"/>
      <c r="R269" s="4"/>
      <c r="S269" s="4"/>
      <c r="T269" s="4"/>
      <c r="V269" s="4"/>
      <c r="W269" s="4"/>
      <c r="X269" s="4"/>
      <c r="Y269" s="4"/>
      <c r="Z269" s="4"/>
      <c r="AA269" s="4"/>
    </row>
    <row r="270" spans="1:27">
      <c r="A270" s="112">
        <v>45963</v>
      </c>
      <c r="B270" s="61" t="s">
        <v>265</v>
      </c>
      <c r="C270" s="81" t="s">
        <v>197</v>
      </c>
      <c r="D270" s="81"/>
      <c r="E270" s="81" t="s">
        <v>266</v>
      </c>
      <c r="F270" s="68" t="s">
        <v>187</v>
      </c>
      <c r="G270" s="96">
        <v>4.8</v>
      </c>
      <c r="H270" s="96">
        <v>4.92</v>
      </c>
      <c r="I270" s="96">
        <v>25</v>
      </c>
      <c r="J270" s="15"/>
      <c r="K270" s="102"/>
      <c r="L270" s="15"/>
      <c r="M270" s="15"/>
      <c r="N270" s="15"/>
      <c r="O270" s="4"/>
      <c r="P270" s="4"/>
      <c r="Q270" s="4"/>
      <c r="R270" s="4"/>
      <c r="S270" s="4"/>
      <c r="T270" s="4"/>
      <c r="V270" s="4"/>
      <c r="W270" s="4"/>
      <c r="X270" s="4"/>
      <c r="Y270" s="4"/>
      <c r="Z270" s="4"/>
      <c r="AA270" s="4"/>
    </row>
    <row r="271" spans="1:27">
      <c r="A271" s="112">
        <v>45963</v>
      </c>
      <c r="B271" s="77" t="s">
        <v>33</v>
      </c>
      <c r="C271" s="77" t="s">
        <v>267</v>
      </c>
      <c r="D271" s="77"/>
      <c r="E271" s="77" t="s">
        <v>257</v>
      </c>
      <c r="F271" s="68" t="s">
        <v>187</v>
      </c>
      <c r="G271" s="96">
        <v>4.6399999999999997</v>
      </c>
      <c r="H271" s="96">
        <v>4.71</v>
      </c>
      <c r="I271" s="96">
        <v>59</v>
      </c>
      <c r="J271" s="15"/>
      <c r="K271" s="102"/>
      <c r="L271" s="15"/>
      <c r="M271" s="15"/>
      <c r="N271" s="15"/>
      <c r="O271" s="4"/>
      <c r="P271" s="4"/>
      <c r="Q271" s="4"/>
      <c r="R271" s="4"/>
      <c r="S271" s="4"/>
      <c r="T271" s="4"/>
      <c r="V271" s="4"/>
      <c r="W271" s="4"/>
      <c r="X271" s="4"/>
      <c r="Y271" s="4"/>
      <c r="Z271" s="4"/>
      <c r="AA271" s="4"/>
    </row>
    <row r="272" spans="1:27">
      <c r="A272" s="112">
        <v>45963</v>
      </c>
      <c r="B272" s="81" t="s">
        <v>33</v>
      </c>
      <c r="C272" s="81" t="s">
        <v>268</v>
      </c>
      <c r="D272" s="81"/>
      <c r="E272" s="81" t="s">
        <v>224</v>
      </c>
      <c r="F272" s="68" t="s">
        <v>22</v>
      </c>
      <c r="G272" s="96">
        <v>4.59</v>
      </c>
      <c r="H272" s="96">
        <v>4.67</v>
      </c>
      <c r="I272" s="96">
        <v>89</v>
      </c>
      <c r="J272" s="15"/>
      <c r="K272" s="102"/>
      <c r="L272" s="15"/>
      <c r="M272" s="15"/>
      <c r="N272" s="15"/>
      <c r="O272" s="4"/>
      <c r="P272" s="4"/>
      <c r="Q272" s="4"/>
      <c r="R272" s="4"/>
      <c r="S272" s="4"/>
      <c r="T272" s="4"/>
      <c r="V272" s="4"/>
      <c r="W272" s="4"/>
      <c r="X272" s="4"/>
      <c r="Y272" s="4"/>
      <c r="Z272" s="4"/>
      <c r="AA272" s="4"/>
    </row>
    <row r="273" spans="1:27">
      <c r="A273" s="112">
        <v>45963</v>
      </c>
      <c r="B273" s="77" t="s">
        <v>208</v>
      </c>
      <c r="C273" s="77" t="s">
        <v>269</v>
      </c>
      <c r="D273" s="55"/>
      <c r="E273" s="55" t="s">
        <v>270</v>
      </c>
      <c r="F273" s="68" t="s">
        <v>187</v>
      </c>
      <c r="G273" s="96">
        <v>4.18</v>
      </c>
      <c r="H273" s="96">
        <v>4.22</v>
      </c>
      <c r="I273" s="96">
        <v>466</v>
      </c>
      <c r="J273" s="15"/>
      <c r="K273" s="102"/>
      <c r="L273" s="15"/>
      <c r="M273" s="15"/>
      <c r="N273" s="15"/>
      <c r="O273" s="4"/>
      <c r="P273" s="4"/>
      <c r="Q273" s="4"/>
      <c r="R273" s="4"/>
      <c r="S273" s="4"/>
      <c r="T273" s="4"/>
      <c r="V273" s="4"/>
      <c r="W273" s="4"/>
      <c r="X273" s="4"/>
      <c r="Y273" s="4"/>
      <c r="Z273" s="4"/>
      <c r="AA273" s="4"/>
    </row>
    <row r="274" spans="1:27">
      <c r="A274" s="112">
        <v>45963</v>
      </c>
      <c r="B274" s="24" t="s">
        <v>47</v>
      </c>
      <c r="C274" s="81" t="s">
        <v>271</v>
      </c>
      <c r="D274" s="61"/>
      <c r="E274" s="61" t="s">
        <v>272</v>
      </c>
      <c r="F274" s="76" t="s">
        <v>26</v>
      </c>
      <c r="G274" s="96">
        <v>4.4400000000000004</v>
      </c>
      <c r="H274" s="96">
        <v>4.51</v>
      </c>
      <c r="I274" s="96">
        <v>90</v>
      </c>
      <c r="J274" s="15"/>
      <c r="K274" s="102"/>
      <c r="L274" s="15"/>
      <c r="M274" s="15">
        <v>1151</v>
      </c>
      <c r="N274" s="15">
        <v>1011</v>
      </c>
      <c r="O274" s="4"/>
      <c r="P274" s="59">
        <f>N274/M274</f>
        <v>0.87836663770634227</v>
      </c>
      <c r="Q274" s="4"/>
      <c r="R274" s="4"/>
      <c r="S274" s="4"/>
      <c r="T274" s="4"/>
      <c r="V274" s="4"/>
      <c r="W274" s="4"/>
      <c r="X274" s="4"/>
      <c r="Y274" s="4"/>
      <c r="Z274" s="4"/>
      <c r="AA274" s="4"/>
    </row>
    <row r="275" spans="1:27">
      <c r="A275" s="112">
        <v>45962</v>
      </c>
      <c r="B275" s="77" t="s">
        <v>98</v>
      </c>
      <c r="C275" s="77" t="s">
        <v>172</v>
      </c>
      <c r="D275" s="77"/>
      <c r="E275" s="77" t="s">
        <v>218</v>
      </c>
      <c r="F275" s="77" t="s">
        <v>187</v>
      </c>
      <c r="G275" s="97">
        <v>4.8899999999999997</v>
      </c>
      <c r="H275" s="97">
        <v>4.84</v>
      </c>
      <c r="I275" s="97">
        <v>19</v>
      </c>
      <c r="J275" s="15"/>
      <c r="K275" s="102"/>
      <c r="L275" s="15"/>
      <c r="M275" s="15"/>
      <c r="N275" s="15"/>
      <c r="O275" s="4"/>
      <c r="P275" s="4"/>
      <c r="Q275" s="4"/>
      <c r="R275" s="4"/>
      <c r="S275" s="4"/>
      <c r="T275" s="4"/>
      <c r="V275" s="4"/>
      <c r="W275" s="4"/>
      <c r="X275" s="4"/>
      <c r="Y275" s="4"/>
      <c r="Z275" s="4"/>
      <c r="AA275" s="4"/>
    </row>
    <row r="276" spans="1:27">
      <c r="A276" s="112">
        <v>45962</v>
      </c>
      <c r="B276" s="24" t="s">
        <v>58</v>
      </c>
      <c r="C276" s="81" t="s">
        <v>167</v>
      </c>
      <c r="D276" s="81"/>
      <c r="E276" s="81" t="s">
        <v>219</v>
      </c>
      <c r="F276" s="81" t="s">
        <v>187</v>
      </c>
      <c r="G276" s="99">
        <v>4.5</v>
      </c>
      <c r="H276" s="99">
        <v>4.5</v>
      </c>
      <c r="I276" s="99">
        <v>42</v>
      </c>
      <c r="J276" s="15"/>
      <c r="K276" s="102"/>
      <c r="L276" s="15"/>
      <c r="M276" s="15"/>
      <c r="N276" s="15"/>
      <c r="O276" s="4"/>
      <c r="P276" s="4"/>
      <c r="Q276" s="4"/>
      <c r="R276" s="4"/>
      <c r="S276" s="4"/>
      <c r="T276" s="4"/>
      <c r="V276" s="4"/>
      <c r="W276" s="4"/>
      <c r="X276" s="4"/>
      <c r="Y276" s="4"/>
      <c r="Z276" s="4"/>
      <c r="AA276" s="4"/>
    </row>
    <row r="277" spans="1:27">
      <c r="A277" s="112">
        <v>45962</v>
      </c>
      <c r="B277" s="77" t="s">
        <v>141</v>
      </c>
      <c r="C277" s="77" t="s">
        <v>217</v>
      </c>
      <c r="D277" s="77"/>
      <c r="E277" s="77" t="s">
        <v>229</v>
      </c>
      <c r="F277" s="77" t="s">
        <v>187</v>
      </c>
      <c r="G277" s="97">
        <v>4.4800000000000004</v>
      </c>
      <c r="H277" s="97">
        <v>4.4800000000000004</v>
      </c>
      <c r="I277" s="97">
        <v>31</v>
      </c>
      <c r="J277" s="15"/>
      <c r="K277" s="102"/>
      <c r="L277" s="15"/>
      <c r="M277" s="15"/>
      <c r="N277" s="15"/>
      <c r="O277" s="4"/>
      <c r="P277" s="4"/>
      <c r="Q277" s="4"/>
      <c r="R277" s="4"/>
      <c r="S277" s="4"/>
      <c r="T277" s="4"/>
      <c r="V277" s="4"/>
      <c r="W277" s="4"/>
      <c r="X277" s="4"/>
      <c r="Y277" s="4"/>
      <c r="Z277" s="4"/>
      <c r="AA277" s="4"/>
    </row>
    <row r="278" spans="1:27">
      <c r="A278" s="112">
        <v>45962</v>
      </c>
      <c r="B278" s="81" t="s">
        <v>265</v>
      </c>
      <c r="C278" s="81" t="s">
        <v>202</v>
      </c>
      <c r="D278" s="81"/>
      <c r="E278" s="81" t="s">
        <v>266</v>
      </c>
      <c r="F278" s="81" t="s">
        <v>187</v>
      </c>
      <c r="G278" s="99">
        <v>4.43</v>
      </c>
      <c r="H278" s="99">
        <v>4.5999999999999996</v>
      </c>
      <c r="I278" s="99">
        <v>30</v>
      </c>
      <c r="J278" s="15"/>
      <c r="K278" s="102"/>
      <c r="L278" s="15"/>
      <c r="M278" s="15"/>
      <c r="N278" s="15"/>
      <c r="O278" s="4"/>
      <c r="P278" s="4"/>
      <c r="Q278" s="4"/>
      <c r="R278" s="4"/>
      <c r="S278" s="4"/>
      <c r="T278" s="4"/>
      <c r="V278" s="4"/>
      <c r="W278" s="4"/>
      <c r="X278" s="4"/>
      <c r="Y278" s="4"/>
      <c r="Z278" s="4"/>
      <c r="AA278" s="4"/>
    </row>
    <row r="279" spans="1:27">
      <c r="A279" s="112">
        <v>45962</v>
      </c>
      <c r="B279" s="77" t="s">
        <v>33</v>
      </c>
      <c r="C279" s="77" t="s">
        <v>211</v>
      </c>
      <c r="D279" s="77"/>
      <c r="E279" s="77" t="s">
        <v>257</v>
      </c>
      <c r="F279" s="77" t="s">
        <v>22</v>
      </c>
      <c r="G279" s="97">
        <v>4.8099999999999996</v>
      </c>
      <c r="H279" s="97">
        <v>4.8099999999999996</v>
      </c>
      <c r="I279" s="97">
        <v>27</v>
      </c>
      <c r="J279" s="15"/>
      <c r="K279" s="102"/>
      <c r="L279" s="15"/>
      <c r="M279" s="15"/>
      <c r="N279" s="15"/>
      <c r="O279" s="4"/>
      <c r="P279" s="4"/>
      <c r="Q279" s="4"/>
      <c r="R279" s="4"/>
      <c r="S279" s="4"/>
      <c r="T279" s="4"/>
      <c r="V279" s="4"/>
      <c r="W279" s="4"/>
      <c r="X279" s="4"/>
      <c r="Y279" s="4"/>
      <c r="Z279" s="4"/>
      <c r="AA279" s="4"/>
    </row>
    <row r="280" spans="1:27">
      <c r="A280" s="112">
        <v>45962</v>
      </c>
      <c r="B280" s="81" t="s">
        <v>33</v>
      </c>
      <c r="C280" s="81" t="s">
        <v>273</v>
      </c>
      <c r="D280" s="81"/>
      <c r="E280" s="81" t="s">
        <v>224</v>
      </c>
      <c r="F280" s="81" t="s">
        <v>22</v>
      </c>
      <c r="G280" s="99">
        <v>4.58</v>
      </c>
      <c r="H280" s="99">
        <v>4.6500000000000004</v>
      </c>
      <c r="I280" s="99">
        <v>146</v>
      </c>
      <c r="J280" s="15"/>
      <c r="K280" s="102"/>
      <c r="L280" s="15"/>
      <c r="M280" s="15"/>
      <c r="N280" s="15"/>
      <c r="O280" s="4"/>
      <c r="P280" s="4"/>
      <c r="Q280" s="4"/>
      <c r="R280" s="4"/>
      <c r="S280" s="4"/>
      <c r="T280" s="4"/>
      <c r="V280" s="4"/>
      <c r="W280" s="4"/>
      <c r="X280" s="4"/>
      <c r="Y280" s="4"/>
      <c r="Z280" s="4"/>
      <c r="AA280" s="4"/>
    </row>
    <row r="281" spans="1:27">
      <c r="A281" s="112">
        <v>45962</v>
      </c>
      <c r="B281" s="77" t="s">
        <v>137</v>
      </c>
      <c r="C281" s="77" t="s">
        <v>274</v>
      </c>
      <c r="D281" s="55"/>
      <c r="E281" s="55" t="s">
        <v>270</v>
      </c>
      <c r="F281" s="77" t="s">
        <v>187</v>
      </c>
      <c r="G281" s="97">
        <v>4.32</v>
      </c>
      <c r="H281" s="97">
        <v>4.4000000000000004</v>
      </c>
      <c r="I281" s="97">
        <v>308</v>
      </c>
      <c r="J281" s="15"/>
      <c r="K281" s="102"/>
      <c r="L281" s="15"/>
      <c r="M281" s="15"/>
      <c r="N281" s="15"/>
      <c r="O281" s="4"/>
      <c r="P281" s="4"/>
      <c r="Q281" s="4"/>
      <c r="R281" s="4"/>
      <c r="S281" s="4"/>
      <c r="T281" s="4"/>
      <c r="V281" s="4"/>
      <c r="W281" s="4"/>
      <c r="X281" s="4"/>
      <c r="Y281" s="4"/>
      <c r="Z281" s="4"/>
      <c r="AA281" s="4"/>
    </row>
    <row r="282" spans="1:27">
      <c r="A282" s="112">
        <v>45962</v>
      </c>
      <c r="B282" s="61" t="s">
        <v>81</v>
      </c>
      <c r="C282" s="81" t="s">
        <v>275</v>
      </c>
      <c r="D282" s="61"/>
      <c r="E282" s="61" t="s">
        <v>272</v>
      </c>
      <c r="F282" s="74" t="s">
        <v>26</v>
      </c>
      <c r="G282" s="53">
        <v>4.5999999999999996</v>
      </c>
      <c r="H282" s="99">
        <v>4.75</v>
      </c>
      <c r="I282" s="99">
        <v>333</v>
      </c>
      <c r="J282" s="15"/>
      <c r="K282" s="102"/>
      <c r="L282" s="15"/>
      <c r="M282" s="15">
        <v>1327</v>
      </c>
      <c r="N282" s="15">
        <v>1236</v>
      </c>
      <c r="O282" s="4"/>
      <c r="P282" s="59">
        <f>N282/M282</f>
        <v>0.9314242652599849</v>
      </c>
      <c r="Q282" s="4"/>
      <c r="R282" s="4"/>
      <c r="S282" s="4"/>
      <c r="T282" s="4"/>
      <c r="V282" s="4"/>
      <c r="W282" s="4"/>
      <c r="X282" s="4"/>
      <c r="Y282" s="4"/>
      <c r="Z282" s="4"/>
      <c r="AA282" s="4"/>
    </row>
    <row r="283" spans="1:27">
      <c r="A283" s="112">
        <v>45956</v>
      </c>
      <c r="B283" s="61" t="s">
        <v>276</v>
      </c>
      <c r="C283" s="61" t="s">
        <v>277</v>
      </c>
      <c r="D283" s="81"/>
      <c r="E283" s="81" t="s">
        <v>218</v>
      </c>
      <c r="F283" s="81" t="s">
        <v>187</v>
      </c>
      <c r="G283" s="99">
        <v>4.5</v>
      </c>
      <c r="H283" s="99">
        <v>4.58</v>
      </c>
      <c r="I283" s="99">
        <v>34</v>
      </c>
      <c r="J283" s="15"/>
      <c r="K283" s="102"/>
      <c r="L283" s="15"/>
      <c r="M283" s="15"/>
      <c r="N283" s="15"/>
      <c r="O283" s="4"/>
      <c r="P283" s="4"/>
      <c r="Q283" s="4"/>
      <c r="R283" s="4"/>
      <c r="S283" s="4"/>
      <c r="T283" s="4"/>
      <c r="V283" s="4"/>
      <c r="W283" s="4"/>
      <c r="X283" s="4"/>
      <c r="Y283" s="4"/>
      <c r="Z283" s="4"/>
      <c r="AA283" s="4"/>
    </row>
    <row r="284" spans="1:27">
      <c r="A284" s="112">
        <v>45956</v>
      </c>
      <c r="B284" s="23" t="s">
        <v>58</v>
      </c>
      <c r="C284" s="55" t="s">
        <v>169</v>
      </c>
      <c r="D284" s="77"/>
      <c r="E284" s="77" t="s">
        <v>219</v>
      </c>
      <c r="F284" s="77" t="s">
        <v>187</v>
      </c>
      <c r="G284" s="97">
        <v>4.72</v>
      </c>
      <c r="H284" s="97">
        <v>4.8</v>
      </c>
      <c r="I284" s="97">
        <v>25</v>
      </c>
      <c r="J284" s="15"/>
      <c r="K284" s="102"/>
      <c r="L284" s="15"/>
      <c r="M284" s="15"/>
      <c r="N284" s="15"/>
      <c r="O284" s="4"/>
      <c r="P284" s="4"/>
      <c r="Q284" s="4"/>
      <c r="R284" s="4"/>
      <c r="S284" s="4"/>
      <c r="T284" s="4"/>
      <c r="V284" s="4"/>
      <c r="W284" s="4"/>
      <c r="X284" s="4"/>
      <c r="Y284" s="4"/>
      <c r="Z284" s="4"/>
      <c r="AA284" s="4"/>
    </row>
    <row r="285" spans="1:27">
      <c r="A285" s="112">
        <v>45956</v>
      </c>
      <c r="B285" s="39" t="s">
        <v>19</v>
      </c>
      <c r="C285" s="61" t="s">
        <v>179</v>
      </c>
      <c r="D285" s="81"/>
      <c r="E285" s="81" t="s">
        <v>229</v>
      </c>
      <c r="F285" s="81" t="s">
        <v>187</v>
      </c>
      <c r="G285" s="99">
        <v>4.42</v>
      </c>
      <c r="H285" s="99">
        <v>4.46</v>
      </c>
      <c r="I285" s="99">
        <v>47</v>
      </c>
      <c r="J285" s="15"/>
      <c r="K285" s="102"/>
      <c r="L285" s="15"/>
      <c r="M285" s="15"/>
      <c r="N285" s="15"/>
      <c r="O285" s="4"/>
      <c r="P285" s="4"/>
      <c r="Q285" s="4"/>
      <c r="R285" s="4"/>
      <c r="S285" s="4"/>
      <c r="T285" s="4"/>
      <c r="V285" s="4"/>
      <c r="W285" s="4"/>
      <c r="X285" s="4"/>
      <c r="Y285" s="4"/>
      <c r="Z285" s="4"/>
      <c r="AA285" s="4"/>
    </row>
    <row r="286" spans="1:27">
      <c r="A286" s="112">
        <v>45956</v>
      </c>
      <c r="B286" s="77" t="s">
        <v>265</v>
      </c>
      <c r="C286" s="55" t="s">
        <v>205</v>
      </c>
      <c r="D286" s="77"/>
      <c r="E286" s="77" t="s">
        <v>266</v>
      </c>
      <c r="F286" s="77" t="s">
        <v>187</v>
      </c>
      <c r="G286" s="97">
        <v>4.78</v>
      </c>
      <c r="H286" s="97">
        <v>4.83</v>
      </c>
      <c r="I286" s="97">
        <v>37</v>
      </c>
      <c r="J286" s="15"/>
      <c r="K286" s="102"/>
      <c r="L286" s="15"/>
      <c r="M286" s="15"/>
      <c r="N286" s="15"/>
      <c r="O286" s="4"/>
      <c r="P286" s="4"/>
      <c r="Q286" s="4"/>
      <c r="R286" s="4"/>
      <c r="S286" s="4"/>
      <c r="T286" s="4"/>
      <c r="V286" s="4"/>
      <c r="W286" s="4"/>
      <c r="X286" s="4"/>
      <c r="Y286" s="4"/>
      <c r="Z286" s="4"/>
      <c r="AA286" s="4"/>
    </row>
    <row r="287" spans="1:27">
      <c r="A287" s="112">
        <v>45956</v>
      </c>
      <c r="B287" s="81" t="s">
        <v>33</v>
      </c>
      <c r="C287" s="61" t="s">
        <v>222</v>
      </c>
      <c r="D287" s="81"/>
      <c r="E287" s="81" t="s">
        <v>257</v>
      </c>
      <c r="F287" s="81" t="s">
        <v>22</v>
      </c>
      <c r="G287" s="99">
        <v>4.6100000000000003</v>
      </c>
      <c r="H287" s="99">
        <v>4.72</v>
      </c>
      <c r="I287" s="99">
        <v>62</v>
      </c>
      <c r="J287" s="15"/>
      <c r="K287" s="102"/>
      <c r="L287" s="15"/>
      <c r="M287" s="15"/>
      <c r="N287" s="15"/>
      <c r="O287" s="4"/>
      <c r="P287" s="4"/>
      <c r="Q287" s="4"/>
      <c r="R287" s="4"/>
      <c r="S287" s="4"/>
      <c r="T287" s="4"/>
      <c r="V287" s="4"/>
      <c r="W287" s="4"/>
      <c r="X287" s="4"/>
      <c r="Y287" s="4"/>
      <c r="Z287" s="4"/>
      <c r="AA287" s="4"/>
    </row>
    <row r="288" spans="1:27">
      <c r="A288" s="112">
        <v>45956</v>
      </c>
      <c r="B288" s="77" t="s">
        <v>33</v>
      </c>
      <c r="C288" s="55" t="s">
        <v>278</v>
      </c>
      <c r="D288" s="77"/>
      <c r="E288" s="77" t="s">
        <v>224</v>
      </c>
      <c r="F288" s="77" t="s">
        <v>22</v>
      </c>
      <c r="G288" s="97">
        <v>4.5</v>
      </c>
      <c r="H288" s="97">
        <v>4.57</v>
      </c>
      <c r="I288" s="97">
        <v>158</v>
      </c>
      <c r="J288" s="15"/>
      <c r="K288" s="102"/>
      <c r="L288" s="15"/>
      <c r="M288" s="15"/>
      <c r="N288" s="15"/>
      <c r="O288" s="4"/>
      <c r="P288" s="4"/>
      <c r="Q288" s="4"/>
      <c r="R288" s="4"/>
      <c r="S288" s="4"/>
      <c r="T288" s="4"/>
      <c r="V288" s="4"/>
      <c r="W288" s="4"/>
      <c r="X288" s="4"/>
      <c r="Y288" s="4"/>
      <c r="Z288" s="4"/>
      <c r="AA288" s="4"/>
    </row>
    <row r="289" spans="1:27">
      <c r="A289" s="112">
        <v>45956</v>
      </c>
      <c r="B289" s="58" t="s">
        <v>81</v>
      </c>
      <c r="C289" s="58" t="s">
        <v>279</v>
      </c>
      <c r="D289" s="68"/>
      <c r="E289" s="113" t="s">
        <v>272</v>
      </c>
      <c r="F289" s="76" t="s">
        <v>26</v>
      </c>
      <c r="G289" s="96">
        <v>4.5599999999999996</v>
      </c>
      <c r="H289" s="96">
        <v>4.6900000000000004</v>
      </c>
      <c r="I289" s="96">
        <v>273</v>
      </c>
      <c r="J289" s="15"/>
      <c r="K289" s="102"/>
      <c r="L289" s="15"/>
      <c r="M289" s="15">
        <v>1444</v>
      </c>
      <c r="N289" s="15">
        <v>1386</v>
      </c>
      <c r="P289" s="59">
        <f>N289/M289</f>
        <v>0.95983379501385047</v>
      </c>
      <c r="Q289" s="4"/>
      <c r="R289" s="4"/>
      <c r="S289" s="4"/>
      <c r="T289" s="4"/>
      <c r="V289" s="4"/>
      <c r="W289" s="4"/>
      <c r="X289" s="4"/>
      <c r="Y289" s="4"/>
      <c r="Z289" s="4"/>
      <c r="AA289" s="4"/>
    </row>
    <row r="290" spans="1:27">
      <c r="A290" s="112">
        <v>45956</v>
      </c>
      <c r="B290" s="58" t="s">
        <v>68</v>
      </c>
      <c r="C290" s="58" t="s">
        <v>280</v>
      </c>
      <c r="D290" s="68"/>
      <c r="E290" s="68" t="s">
        <v>270</v>
      </c>
      <c r="F290" s="68" t="s">
        <v>187</v>
      </c>
      <c r="G290" s="96">
        <v>4.5199999999999996</v>
      </c>
      <c r="H290" s="96">
        <v>4.7</v>
      </c>
      <c r="I290" s="96">
        <v>429</v>
      </c>
      <c r="J290" s="15"/>
      <c r="K290" s="102"/>
      <c r="L290" s="15"/>
      <c r="M290" s="15"/>
      <c r="N290" s="15"/>
      <c r="P290" s="4"/>
      <c r="Q290" s="4"/>
      <c r="R290" s="4"/>
      <c r="S290" s="4"/>
      <c r="T290" s="4"/>
      <c r="V290" s="4"/>
      <c r="W290" s="4"/>
      <c r="X290" s="4"/>
      <c r="Y290" s="4"/>
      <c r="Z290" s="4"/>
      <c r="AA290" s="4"/>
    </row>
    <row r="291" spans="1:27">
      <c r="A291" s="112">
        <v>45955</v>
      </c>
      <c r="B291" s="61" t="s">
        <v>276</v>
      </c>
      <c r="C291" s="61" t="s">
        <v>281</v>
      </c>
      <c r="D291" s="81"/>
      <c r="E291" s="81" t="s">
        <v>218</v>
      </c>
      <c r="F291" s="81" t="s">
        <v>187</v>
      </c>
      <c r="G291" s="99">
        <v>4.5199999999999996</v>
      </c>
      <c r="H291" s="99">
        <v>4.5599999999999996</v>
      </c>
      <c r="I291" s="99">
        <v>23</v>
      </c>
      <c r="J291" s="15"/>
      <c r="K291" s="102"/>
      <c r="L291" s="15"/>
      <c r="M291" s="15"/>
      <c r="N291" s="15"/>
      <c r="P291" s="4"/>
      <c r="Q291" s="4"/>
      <c r="R291" s="4"/>
      <c r="S291" s="4"/>
      <c r="T291" s="4"/>
      <c r="V291" s="4"/>
      <c r="W291" s="4"/>
      <c r="X291" s="4"/>
      <c r="Y291" s="4"/>
      <c r="Z291" s="4"/>
      <c r="AA291" s="4"/>
    </row>
    <row r="292" spans="1:27">
      <c r="A292" s="112">
        <v>45955</v>
      </c>
      <c r="B292" s="23" t="s">
        <v>58</v>
      </c>
      <c r="C292" s="55" t="s">
        <v>163</v>
      </c>
      <c r="D292" s="77"/>
      <c r="E292" s="77" t="s">
        <v>219</v>
      </c>
      <c r="F292" s="77" t="s">
        <v>187</v>
      </c>
      <c r="G292" s="97">
        <v>4.42</v>
      </c>
      <c r="H292" s="97">
        <v>4.42</v>
      </c>
      <c r="I292" s="97">
        <v>45</v>
      </c>
      <c r="J292" s="15"/>
      <c r="K292" s="102"/>
      <c r="L292" s="15"/>
      <c r="M292" s="15"/>
      <c r="N292" s="15"/>
      <c r="P292" s="4"/>
      <c r="Q292" s="4"/>
      <c r="R292" s="4"/>
      <c r="S292" s="4"/>
      <c r="T292" s="4"/>
      <c r="V292" s="4"/>
      <c r="W292" s="4"/>
      <c r="X292" s="4"/>
      <c r="Y292" s="4"/>
      <c r="Z292" s="4"/>
      <c r="AA292" s="4"/>
    </row>
    <row r="293" spans="1:27">
      <c r="A293" s="112">
        <v>45955</v>
      </c>
      <c r="B293" s="39" t="s">
        <v>19</v>
      </c>
      <c r="C293" s="61" t="s">
        <v>188</v>
      </c>
      <c r="D293" s="81"/>
      <c r="E293" s="81" t="s">
        <v>229</v>
      </c>
      <c r="F293" s="81" t="s">
        <v>187</v>
      </c>
      <c r="G293" s="99">
        <v>4.62</v>
      </c>
      <c r="H293" s="99">
        <v>4.72</v>
      </c>
      <c r="I293" s="99">
        <v>74</v>
      </c>
      <c r="J293" s="15"/>
      <c r="K293" s="102"/>
      <c r="L293" s="15"/>
      <c r="M293" s="15"/>
      <c r="N293" s="15"/>
      <c r="P293" s="4"/>
      <c r="Q293" s="4"/>
      <c r="R293" s="4"/>
      <c r="S293" s="4"/>
      <c r="T293" s="4"/>
      <c r="V293" s="4"/>
      <c r="W293" s="4"/>
      <c r="X293" s="4"/>
      <c r="Y293" s="4"/>
      <c r="Z293" s="4"/>
      <c r="AA293" s="4"/>
    </row>
    <row r="294" spans="1:27">
      <c r="A294" s="112">
        <v>45955</v>
      </c>
      <c r="B294" s="77" t="s">
        <v>141</v>
      </c>
      <c r="C294" s="55" t="s">
        <v>256</v>
      </c>
      <c r="D294" s="77"/>
      <c r="E294" s="77" t="s">
        <v>266</v>
      </c>
      <c r="F294" s="77" t="s">
        <v>187</v>
      </c>
      <c r="G294" s="97">
        <v>4.71</v>
      </c>
      <c r="H294" s="97">
        <v>4.57</v>
      </c>
      <c r="I294" s="97">
        <v>14</v>
      </c>
      <c r="J294" s="15"/>
      <c r="K294" s="102"/>
      <c r="L294" s="15"/>
      <c r="M294" s="15"/>
      <c r="N294" s="15"/>
      <c r="P294" s="4"/>
      <c r="Q294" s="4"/>
      <c r="R294" s="4"/>
      <c r="S294" s="4"/>
      <c r="T294" s="4"/>
      <c r="V294" s="4"/>
      <c r="W294" s="4"/>
      <c r="X294" s="4"/>
      <c r="Y294" s="4"/>
      <c r="Z294" s="4"/>
      <c r="AA294" s="4"/>
    </row>
    <row r="295" spans="1:27">
      <c r="A295" s="112">
        <v>45955</v>
      </c>
      <c r="B295" s="81" t="s">
        <v>33</v>
      </c>
      <c r="C295" s="61" t="s">
        <v>230</v>
      </c>
      <c r="D295" s="81"/>
      <c r="E295" s="81" t="s">
        <v>257</v>
      </c>
      <c r="F295" s="81" t="s">
        <v>22</v>
      </c>
      <c r="G295" s="99">
        <v>4.67</v>
      </c>
      <c r="H295" s="99">
        <v>4.7699999999999996</v>
      </c>
      <c r="I295" s="99">
        <v>90</v>
      </c>
      <c r="J295" s="15"/>
      <c r="K295" s="102"/>
      <c r="L295" s="15"/>
      <c r="M295" s="15"/>
      <c r="N295" s="15"/>
      <c r="P295" s="4"/>
      <c r="Q295" s="4"/>
      <c r="R295" s="4"/>
      <c r="S295" s="4"/>
      <c r="T295" s="4"/>
      <c r="V295" s="4"/>
      <c r="W295" s="4"/>
      <c r="X295" s="4"/>
      <c r="Y295" s="4"/>
      <c r="Z295" s="4"/>
      <c r="AA295" s="4"/>
    </row>
    <row r="296" spans="1:27">
      <c r="A296" s="112">
        <v>45955</v>
      </c>
      <c r="B296" s="55" t="s">
        <v>81</v>
      </c>
      <c r="C296" s="55" t="s">
        <v>282</v>
      </c>
      <c r="D296" s="77"/>
      <c r="E296" s="77" t="s">
        <v>283</v>
      </c>
      <c r="F296" s="77" t="s">
        <v>22</v>
      </c>
      <c r="G296" s="97">
        <v>4.75</v>
      </c>
      <c r="H296" s="97">
        <v>4.88</v>
      </c>
      <c r="I296" s="97">
        <v>77</v>
      </c>
      <c r="J296" s="15"/>
      <c r="K296" s="102"/>
      <c r="L296" s="15"/>
      <c r="M296" s="15"/>
      <c r="N296" s="15"/>
      <c r="P296" s="4"/>
      <c r="Q296" s="4"/>
      <c r="R296" s="4"/>
      <c r="S296" s="4"/>
      <c r="T296" s="4"/>
      <c r="V296" s="4"/>
      <c r="W296" s="4"/>
      <c r="X296" s="4"/>
      <c r="Y296" s="4"/>
      <c r="Z296" s="4"/>
      <c r="AA296" s="4"/>
    </row>
    <row r="297" spans="1:27">
      <c r="A297" s="112">
        <v>45955</v>
      </c>
      <c r="B297" s="61" t="s">
        <v>137</v>
      </c>
      <c r="C297" s="61" t="s">
        <v>284</v>
      </c>
      <c r="D297" s="61"/>
      <c r="E297" s="61" t="s">
        <v>270</v>
      </c>
      <c r="F297" s="81" t="s">
        <v>187</v>
      </c>
      <c r="G297" s="99">
        <v>4.1399999999999997</v>
      </c>
      <c r="H297" s="99">
        <v>4.2300000000000004</v>
      </c>
      <c r="I297" s="99">
        <v>236</v>
      </c>
      <c r="J297" s="15"/>
      <c r="K297" s="102"/>
      <c r="L297" s="15"/>
      <c r="M297" s="15"/>
      <c r="N297" s="15"/>
      <c r="P297" s="4"/>
      <c r="Q297" s="4"/>
      <c r="R297" s="4"/>
      <c r="S297" s="4"/>
      <c r="T297" s="4"/>
      <c r="V297" s="4"/>
      <c r="W297" s="4"/>
      <c r="X297" s="4"/>
      <c r="Y297" s="4"/>
      <c r="Z297" s="4"/>
      <c r="AA297" s="4"/>
    </row>
    <row r="298" spans="1:27">
      <c r="A298" s="112">
        <v>45955</v>
      </c>
      <c r="B298" s="55" t="s">
        <v>81</v>
      </c>
      <c r="C298" s="55" t="s">
        <v>285</v>
      </c>
      <c r="D298" s="111"/>
      <c r="E298" s="55" t="s">
        <v>272</v>
      </c>
      <c r="F298" s="69" t="s">
        <v>26</v>
      </c>
      <c r="G298" s="97">
        <v>4.5599999999999996</v>
      </c>
      <c r="H298" s="97">
        <v>4.71</v>
      </c>
      <c r="I298" s="97">
        <v>383</v>
      </c>
      <c r="J298" s="15"/>
      <c r="K298" s="102"/>
      <c r="L298" s="15"/>
      <c r="M298" s="114">
        <v>1690</v>
      </c>
      <c r="N298" s="15">
        <v>1596</v>
      </c>
      <c r="P298" s="59">
        <f>N298/M298</f>
        <v>0.9443786982248521</v>
      </c>
      <c r="Q298" s="4"/>
      <c r="R298" s="4"/>
      <c r="S298" s="4"/>
      <c r="T298" s="4"/>
      <c r="V298" s="4"/>
      <c r="W298" s="4"/>
      <c r="X298" s="4"/>
      <c r="Y298" s="4"/>
      <c r="Z298" s="4"/>
      <c r="AA298" s="4"/>
    </row>
    <row r="299" spans="1:27">
      <c r="A299" s="112">
        <v>45949</v>
      </c>
      <c r="B299" s="10" t="s">
        <v>19</v>
      </c>
      <c r="C299" s="111" t="s">
        <v>286</v>
      </c>
      <c r="D299" s="111"/>
      <c r="E299" s="111" t="s">
        <v>270</v>
      </c>
      <c r="F299" s="77" t="s">
        <v>187</v>
      </c>
      <c r="G299" s="97">
        <v>4.2300000000000004</v>
      </c>
      <c r="H299" s="97">
        <v>4.5</v>
      </c>
      <c r="I299" s="97">
        <v>224</v>
      </c>
      <c r="J299" s="15"/>
      <c r="K299" s="102"/>
      <c r="L299" s="15"/>
      <c r="M299" s="15"/>
      <c r="N299" s="15"/>
      <c r="O299" s="4"/>
      <c r="P299" s="4"/>
      <c r="Q299" s="4"/>
      <c r="R299" s="4"/>
      <c r="S299" s="4"/>
      <c r="T299" s="4"/>
      <c r="V299" s="4"/>
      <c r="W299" s="4"/>
      <c r="X299" s="4"/>
      <c r="Y299" s="4"/>
      <c r="Z299" s="4"/>
      <c r="AA299" s="4"/>
    </row>
    <row r="300" spans="1:27">
      <c r="A300" s="112">
        <v>45948</v>
      </c>
      <c r="B300" s="24" t="s">
        <v>58</v>
      </c>
      <c r="C300" s="77" t="s">
        <v>193</v>
      </c>
      <c r="D300" s="77"/>
      <c r="E300" s="77" t="s">
        <v>218</v>
      </c>
      <c r="F300" s="77" t="s">
        <v>187</v>
      </c>
      <c r="G300" s="97">
        <v>4.88</v>
      </c>
      <c r="H300" s="97">
        <v>4.8</v>
      </c>
      <c r="I300" s="97">
        <v>9</v>
      </c>
      <c r="J300" s="15"/>
      <c r="K300" s="102"/>
      <c r="L300" s="15"/>
      <c r="M300" s="15"/>
      <c r="N300" s="15"/>
      <c r="O300" s="4"/>
      <c r="P300" s="4"/>
      <c r="Q300" s="4"/>
      <c r="R300" s="4"/>
      <c r="S300" s="4"/>
      <c r="T300" s="4"/>
      <c r="V300" s="4"/>
      <c r="W300" s="4"/>
      <c r="X300" s="4"/>
      <c r="Y300" s="4"/>
      <c r="Z300" s="4"/>
      <c r="AA300" s="4"/>
    </row>
    <row r="301" spans="1:27">
      <c r="A301" s="112">
        <v>45948</v>
      </c>
      <c r="B301" s="77" t="s">
        <v>141</v>
      </c>
      <c r="C301" s="81" t="s">
        <v>142</v>
      </c>
      <c r="D301" s="81"/>
      <c r="E301" s="81" t="s">
        <v>219</v>
      </c>
      <c r="F301" s="81" t="s">
        <v>187</v>
      </c>
      <c r="G301" s="99">
        <v>4.34</v>
      </c>
      <c r="H301" s="99">
        <v>4.4000000000000004</v>
      </c>
      <c r="I301" s="99">
        <v>49</v>
      </c>
      <c r="J301" s="15"/>
      <c r="K301" s="102"/>
      <c r="L301" s="15"/>
      <c r="M301" s="15"/>
      <c r="N301" s="15"/>
      <c r="O301" s="4"/>
      <c r="P301" s="4"/>
      <c r="Q301" s="4"/>
      <c r="R301" s="4"/>
      <c r="S301" s="4"/>
      <c r="T301" s="4"/>
      <c r="V301" s="4"/>
      <c r="W301" s="4"/>
      <c r="X301" s="4"/>
      <c r="Y301" s="4"/>
      <c r="Z301" s="4"/>
      <c r="AA301" s="4"/>
    </row>
    <row r="302" spans="1:27">
      <c r="A302" s="112">
        <v>45948</v>
      </c>
      <c r="B302" s="49" t="s">
        <v>77</v>
      </c>
      <c r="C302" s="77" t="s">
        <v>251</v>
      </c>
      <c r="D302" s="77"/>
      <c r="E302" s="77" t="s">
        <v>229</v>
      </c>
      <c r="F302" s="77" t="s">
        <v>187</v>
      </c>
      <c r="G302" s="97">
        <v>4.68</v>
      </c>
      <c r="H302" s="97">
        <v>4.68</v>
      </c>
      <c r="I302" s="97">
        <v>32</v>
      </c>
      <c r="J302" s="15"/>
      <c r="K302" s="102"/>
      <c r="L302" s="15"/>
      <c r="M302" s="15"/>
      <c r="N302" s="15"/>
      <c r="O302" s="4"/>
      <c r="P302" s="4"/>
      <c r="Q302" s="4"/>
      <c r="R302" s="4"/>
      <c r="S302" s="4"/>
      <c r="T302" s="4"/>
      <c r="V302" s="4"/>
      <c r="W302" s="4"/>
      <c r="X302" s="4"/>
      <c r="Y302" s="4"/>
      <c r="Z302" s="4"/>
      <c r="AA302" s="4"/>
    </row>
    <row r="303" spans="1:27">
      <c r="A303" s="112">
        <v>45948</v>
      </c>
      <c r="B303" s="55" t="s">
        <v>265</v>
      </c>
      <c r="C303" s="81" t="s">
        <v>287</v>
      </c>
      <c r="D303" s="81"/>
      <c r="E303" s="81" t="s">
        <v>288</v>
      </c>
      <c r="F303" s="81" t="s">
        <v>187</v>
      </c>
      <c r="G303" s="99">
        <v>4.71</v>
      </c>
      <c r="H303" s="99">
        <v>4.7699999999999996</v>
      </c>
      <c r="I303" s="99">
        <v>80</v>
      </c>
      <c r="J303" s="15"/>
      <c r="K303" s="102"/>
      <c r="L303" s="15"/>
      <c r="M303" s="15"/>
      <c r="N303" s="15"/>
      <c r="O303" s="4"/>
      <c r="P303" s="4"/>
      <c r="Q303" s="4"/>
      <c r="R303" s="4"/>
      <c r="S303" s="4"/>
      <c r="T303" s="4"/>
      <c r="V303" s="4"/>
      <c r="W303" s="4"/>
      <c r="X303" s="4"/>
      <c r="Y303" s="4"/>
      <c r="Z303" s="4"/>
      <c r="AA303" s="4"/>
    </row>
    <row r="304" spans="1:27">
      <c r="A304" s="112">
        <v>45948</v>
      </c>
      <c r="B304" s="77" t="s">
        <v>33</v>
      </c>
      <c r="C304" s="77" t="s">
        <v>239</v>
      </c>
      <c r="D304" s="77"/>
      <c r="E304" s="77" t="s">
        <v>257</v>
      </c>
      <c r="F304" s="77" t="s">
        <v>187</v>
      </c>
      <c r="G304" s="97">
        <v>4.87</v>
      </c>
      <c r="H304" s="97">
        <v>4.83</v>
      </c>
      <c r="I304" s="97">
        <v>31</v>
      </c>
      <c r="J304" s="15"/>
      <c r="K304" s="102"/>
      <c r="L304" s="15"/>
      <c r="M304" s="15"/>
      <c r="N304" s="15"/>
      <c r="O304" s="4"/>
      <c r="P304" s="4"/>
      <c r="Q304" s="4"/>
      <c r="R304" s="4"/>
      <c r="S304" s="4"/>
      <c r="T304" s="4"/>
      <c r="V304" s="4"/>
      <c r="W304" s="4"/>
      <c r="X304" s="4"/>
      <c r="Y304" s="4"/>
      <c r="Z304" s="4"/>
      <c r="AA304" s="4"/>
    </row>
    <row r="305" spans="1:27">
      <c r="A305" s="112">
        <v>45948</v>
      </c>
      <c r="B305" s="61" t="s">
        <v>81</v>
      </c>
      <c r="C305" s="61" t="s">
        <v>289</v>
      </c>
      <c r="D305" s="61"/>
      <c r="E305" s="61" t="s">
        <v>283</v>
      </c>
      <c r="F305" s="61" t="s">
        <v>22</v>
      </c>
      <c r="G305" s="115">
        <v>4.66</v>
      </c>
      <c r="H305" s="115">
        <v>4.76</v>
      </c>
      <c r="I305" s="115">
        <v>93</v>
      </c>
      <c r="J305" s="15"/>
      <c r="K305" s="102"/>
      <c r="L305" s="15"/>
      <c r="M305" s="15"/>
      <c r="N305" s="15"/>
      <c r="O305" s="4"/>
      <c r="P305" s="4"/>
      <c r="Q305" s="4"/>
      <c r="R305" s="4"/>
      <c r="S305" s="4"/>
      <c r="T305" s="4"/>
      <c r="V305" s="4"/>
      <c r="W305" s="4"/>
      <c r="X305" s="4"/>
      <c r="Y305" s="4"/>
      <c r="Z305" s="4"/>
      <c r="AA305" s="4"/>
    </row>
    <row r="306" spans="1:27">
      <c r="A306" s="112">
        <v>45948</v>
      </c>
      <c r="B306" s="55" t="s">
        <v>68</v>
      </c>
      <c r="C306" s="61" t="s">
        <v>290</v>
      </c>
      <c r="D306" s="111"/>
      <c r="E306" s="111" t="s">
        <v>270</v>
      </c>
      <c r="F306" s="116" t="s">
        <v>187</v>
      </c>
      <c r="G306" s="117">
        <v>4.58</v>
      </c>
      <c r="H306" s="117">
        <v>4.75</v>
      </c>
      <c r="I306" s="118">
        <v>233</v>
      </c>
      <c r="J306" s="15"/>
      <c r="K306" s="102"/>
      <c r="L306" s="15"/>
      <c r="M306" s="15"/>
      <c r="N306" s="15"/>
      <c r="O306" s="4"/>
      <c r="P306" s="4"/>
      <c r="Q306" s="4"/>
      <c r="R306" s="4"/>
      <c r="S306" s="4"/>
      <c r="T306" s="4"/>
      <c r="V306" s="4"/>
      <c r="W306" s="4"/>
      <c r="X306" s="4"/>
      <c r="Y306" s="4"/>
      <c r="Z306" s="4"/>
      <c r="AA306" s="4"/>
    </row>
    <row r="307" spans="1:27">
      <c r="A307" s="112">
        <v>45942</v>
      </c>
      <c r="B307" s="77" t="s">
        <v>155</v>
      </c>
      <c r="C307" s="68" t="s">
        <v>156</v>
      </c>
      <c r="D307" s="68"/>
      <c r="E307" s="68" t="s">
        <v>218</v>
      </c>
      <c r="F307" s="58" t="s">
        <v>187</v>
      </c>
      <c r="G307" s="118">
        <v>4.63</v>
      </c>
      <c r="H307" s="118">
        <v>4.72</v>
      </c>
      <c r="I307" s="118">
        <v>11</v>
      </c>
      <c r="J307" s="15"/>
      <c r="K307" s="102"/>
      <c r="L307" s="15"/>
      <c r="M307" s="15"/>
      <c r="N307" s="15"/>
      <c r="O307" s="4"/>
      <c r="P307" s="4"/>
      <c r="Q307" s="4"/>
      <c r="R307" s="4"/>
      <c r="S307" s="4"/>
      <c r="T307" s="4"/>
      <c r="V307" s="4"/>
      <c r="W307" s="4"/>
      <c r="X307" s="4"/>
      <c r="Y307" s="4"/>
      <c r="Z307" s="4"/>
      <c r="AA307" s="4"/>
    </row>
    <row r="308" spans="1:27">
      <c r="A308" s="112">
        <v>45942</v>
      </c>
      <c r="B308" s="24" t="s">
        <v>47</v>
      </c>
      <c r="C308" s="81" t="s">
        <v>217</v>
      </c>
      <c r="D308" s="81"/>
      <c r="E308" s="81" t="s">
        <v>291</v>
      </c>
      <c r="F308" s="58" t="s">
        <v>187</v>
      </c>
      <c r="G308" s="118">
        <v>4.6500000000000004</v>
      </c>
      <c r="H308" s="118">
        <v>4.71</v>
      </c>
      <c r="I308" s="118">
        <v>35</v>
      </c>
      <c r="J308" s="15"/>
      <c r="K308" s="102"/>
      <c r="L308" s="15"/>
      <c r="M308" s="15"/>
      <c r="N308" s="15"/>
      <c r="O308" s="4"/>
      <c r="P308" s="4"/>
      <c r="Q308" s="4"/>
      <c r="R308" s="4"/>
      <c r="S308" s="4"/>
      <c r="T308" s="4"/>
      <c r="V308" s="4"/>
      <c r="W308" s="4"/>
      <c r="X308" s="4"/>
      <c r="Y308" s="4"/>
      <c r="Z308" s="4"/>
      <c r="AA308" s="4"/>
    </row>
    <row r="309" spans="1:27">
      <c r="A309" s="112">
        <v>45942</v>
      </c>
      <c r="B309" s="77" t="s">
        <v>208</v>
      </c>
      <c r="C309" s="77" t="s">
        <v>292</v>
      </c>
      <c r="D309" s="77"/>
      <c r="E309" s="77" t="s">
        <v>293</v>
      </c>
      <c r="F309" s="58" t="s">
        <v>187</v>
      </c>
      <c r="G309" s="118">
        <v>4.6399999999999997</v>
      </c>
      <c r="H309" s="118">
        <v>4.76</v>
      </c>
      <c r="I309" s="118">
        <v>16</v>
      </c>
      <c r="J309" s="15"/>
      <c r="K309" s="102"/>
      <c r="L309" s="15"/>
      <c r="M309" s="15"/>
      <c r="N309" s="15"/>
      <c r="O309" s="4"/>
      <c r="P309" s="4"/>
      <c r="Q309" s="4"/>
      <c r="R309" s="4"/>
      <c r="S309" s="4"/>
      <c r="T309" s="4"/>
      <c r="V309" s="4"/>
      <c r="W309" s="4"/>
      <c r="X309" s="4"/>
      <c r="Y309" s="4"/>
      <c r="Z309" s="4"/>
      <c r="AA309" s="4"/>
    </row>
    <row r="310" spans="1:27">
      <c r="A310" s="112">
        <v>45942</v>
      </c>
      <c r="B310" s="49" t="s">
        <v>77</v>
      </c>
      <c r="C310" s="81" t="s">
        <v>252</v>
      </c>
      <c r="D310" s="81"/>
      <c r="E310" s="81" t="s">
        <v>229</v>
      </c>
      <c r="F310" s="58" t="s">
        <v>187</v>
      </c>
      <c r="G310" s="118">
        <v>4.62</v>
      </c>
      <c r="H310" s="118">
        <v>4.68</v>
      </c>
      <c r="I310" s="118">
        <v>32</v>
      </c>
      <c r="J310" s="15"/>
      <c r="K310" s="102"/>
      <c r="L310" s="15"/>
      <c r="M310" s="15"/>
      <c r="N310" s="15"/>
      <c r="O310" s="4"/>
      <c r="P310" s="4"/>
      <c r="Q310" s="4"/>
      <c r="R310" s="4"/>
      <c r="S310" s="4"/>
      <c r="T310" s="4"/>
      <c r="V310" s="4"/>
      <c r="W310" s="4"/>
      <c r="X310" s="4"/>
      <c r="Y310" s="4"/>
      <c r="Z310" s="4"/>
      <c r="AA310" s="4"/>
    </row>
    <row r="311" spans="1:27">
      <c r="A311" s="112">
        <v>45942</v>
      </c>
      <c r="B311" s="55" t="s">
        <v>294</v>
      </c>
      <c r="C311" s="55" t="s">
        <v>295</v>
      </c>
      <c r="D311" s="77"/>
      <c r="E311" s="77" t="s">
        <v>288</v>
      </c>
      <c r="F311" s="58" t="s">
        <v>187</v>
      </c>
      <c r="G311" s="118">
        <v>3.63</v>
      </c>
      <c r="H311" s="118">
        <v>3.65</v>
      </c>
      <c r="I311" s="118">
        <v>90</v>
      </c>
      <c r="J311" s="15"/>
      <c r="K311" s="102"/>
      <c r="L311" s="15"/>
      <c r="M311" s="15"/>
      <c r="N311" s="15"/>
      <c r="O311" s="4"/>
      <c r="P311" s="4"/>
      <c r="Q311" s="4"/>
      <c r="R311" s="4"/>
      <c r="S311" s="4"/>
      <c r="T311" s="4"/>
      <c r="V311" s="4"/>
      <c r="W311" s="4"/>
      <c r="X311" s="4"/>
      <c r="Y311" s="4"/>
      <c r="Z311" s="4"/>
      <c r="AA311" s="4"/>
    </row>
    <row r="312" spans="1:27">
      <c r="A312" s="112">
        <v>45942</v>
      </c>
      <c r="B312" s="81" t="s">
        <v>33</v>
      </c>
      <c r="C312" s="61" t="s">
        <v>253</v>
      </c>
      <c r="D312" s="61"/>
      <c r="E312" s="61" t="s">
        <v>296</v>
      </c>
      <c r="F312" s="68" t="s">
        <v>22</v>
      </c>
      <c r="G312" s="118">
        <v>4.67</v>
      </c>
      <c r="H312" s="118">
        <v>4.72</v>
      </c>
      <c r="I312" s="118">
        <v>117</v>
      </c>
      <c r="J312" s="15"/>
      <c r="K312" s="102"/>
      <c r="L312" s="15"/>
      <c r="M312" s="15"/>
      <c r="N312" s="15"/>
      <c r="O312" s="4"/>
      <c r="P312" s="4"/>
      <c r="Q312" s="4"/>
      <c r="R312" s="4"/>
      <c r="S312" s="4"/>
      <c r="T312" s="4"/>
      <c r="V312" s="4"/>
      <c r="W312" s="4"/>
      <c r="X312" s="4"/>
      <c r="Y312" s="4"/>
      <c r="Z312" s="4"/>
      <c r="AA312" s="4"/>
    </row>
    <row r="313" spans="1:27">
      <c r="A313" s="112">
        <v>45942</v>
      </c>
      <c r="B313" s="55" t="s">
        <v>297</v>
      </c>
      <c r="C313" s="55" t="s">
        <v>298</v>
      </c>
      <c r="D313" s="55"/>
      <c r="E313" s="55" t="s">
        <v>283</v>
      </c>
      <c r="F313" s="58" t="s">
        <v>187</v>
      </c>
      <c r="G313" s="118">
        <v>4.82</v>
      </c>
      <c r="H313" s="118">
        <v>4.84</v>
      </c>
      <c r="I313" s="118">
        <v>183</v>
      </c>
      <c r="J313" s="15"/>
      <c r="K313" s="102"/>
      <c r="L313" s="15"/>
      <c r="M313" s="15"/>
      <c r="N313" s="15"/>
      <c r="O313" s="4"/>
      <c r="P313" s="4"/>
      <c r="Q313" s="4"/>
      <c r="R313" s="4"/>
      <c r="S313" s="4"/>
      <c r="T313" s="4"/>
      <c r="V313" s="4"/>
      <c r="W313" s="4"/>
      <c r="X313" s="4"/>
      <c r="Y313" s="4"/>
      <c r="Z313" s="4"/>
      <c r="AA313" s="4"/>
    </row>
    <row r="314" spans="1:27">
      <c r="A314" s="112">
        <v>45942</v>
      </c>
      <c r="B314" s="81" t="s">
        <v>98</v>
      </c>
      <c r="C314" s="61" t="s">
        <v>299</v>
      </c>
      <c r="D314" s="81"/>
      <c r="E314" s="81" t="s">
        <v>270</v>
      </c>
      <c r="F314" s="58" t="s">
        <v>187</v>
      </c>
      <c r="G314" s="118">
        <v>4.32</v>
      </c>
      <c r="H314" s="118">
        <v>4.45</v>
      </c>
      <c r="I314" s="118">
        <v>370</v>
      </c>
      <c r="J314" s="15"/>
      <c r="K314" s="102"/>
      <c r="L314" s="15"/>
      <c r="M314" s="15"/>
      <c r="N314" s="15"/>
      <c r="O314" s="4"/>
      <c r="P314" s="4"/>
      <c r="Q314" s="4"/>
      <c r="R314" s="4"/>
      <c r="S314" s="4"/>
      <c r="T314" s="4"/>
      <c r="V314" s="4"/>
      <c r="W314" s="4"/>
      <c r="X314" s="4"/>
      <c r="Y314" s="4"/>
      <c r="Z314" s="4"/>
      <c r="AA314" s="4"/>
    </row>
    <row r="315" spans="1:27">
      <c r="A315" s="112">
        <v>45941</v>
      </c>
      <c r="B315" s="23" t="s">
        <v>58</v>
      </c>
      <c r="C315" s="77" t="s">
        <v>167</v>
      </c>
      <c r="D315" s="77"/>
      <c r="E315" s="77" t="s">
        <v>218</v>
      </c>
      <c r="F315" s="55" t="s">
        <v>187</v>
      </c>
      <c r="G315" s="119">
        <v>4.75</v>
      </c>
      <c r="H315" s="119">
        <v>4.75</v>
      </c>
      <c r="I315" s="119">
        <v>8</v>
      </c>
      <c r="J315" s="119"/>
      <c r="K315" s="102"/>
      <c r="L315" s="15"/>
      <c r="M315" s="15"/>
      <c r="N315" s="15"/>
      <c r="O315" s="4"/>
      <c r="P315" s="4"/>
      <c r="Q315" s="4"/>
      <c r="R315" s="4"/>
      <c r="S315" s="4"/>
      <c r="T315" s="4"/>
      <c r="V315" s="4"/>
      <c r="W315" s="4"/>
      <c r="X315" s="4"/>
      <c r="Y315" s="4"/>
      <c r="Z315" s="4"/>
      <c r="AA315" s="4"/>
    </row>
    <row r="316" spans="1:27">
      <c r="A316" s="112">
        <v>45941</v>
      </c>
      <c r="B316" s="39" t="s">
        <v>19</v>
      </c>
      <c r="C316" s="81" t="s">
        <v>264</v>
      </c>
      <c r="D316" s="81"/>
      <c r="E316" s="81" t="s">
        <v>291</v>
      </c>
      <c r="F316" s="61" t="s">
        <v>187</v>
      </c>
      <c r="G316" s="115">
        <v>4.7300000000000004</v>
      </c>
      <c r="H316" s="115">
        <v>4.8</v>
      </c>
      <c r="I316" s="115">
        <v>62</v>
      </c>
      <c r="J316" s="115"/>
      <c r="K316" s="102"/>
      <c r="L316" s="15"/>
      <c r="M316" s="15"/>
      <c r="N316" s="15"/>
      <c r="O316" s="4"/>
      <c r="P316" s="4"/>
      <c r="Q316" s="4"/>
      <c r="R316" s="4"/>
      <c r="S316" s="4"/>
      <c r="T316" s="4"/>
      <c r="V316" s="4"/>
      <c r="W316" s="4"/>
      <c r="X316" s="4"/>
      <c r="Y316" s="4"/>
      <c r="Z316" s="4"/>
      <c r="AA316" s="4"/>
    </row>
    <row r="317" spans="1:27">
      <c r="A317" s="112">
        <v>45941</v>
      </c>
      <c r="B317" s="23" t="s">
        <v>47</v>
      </c>
      <c r="C317" s="77" t="s">
        <v>300</v>
      </c>
      <c r="D317" s="77"/>
      <c r="E317" s="77" t="s">
        <v>301</v>
      </c>
      <c r="F317" s="55" t="s">
        <v>187</v>
      </c>
      <c r="G317" s="119">
        <v>4.83</v>
      </c>
      <c r="H317" s="119">
        <v>4.9000000000000004</v>
      </c>
      <c r="I317" s="119">
        <v>196</v>
      </c>
      <c r="J317" s="120" t="s">
        <v>302</v>
      </c>
      <c r="K317" s="102"/>
      <c r="L317" s="15"/>
      <c r="M317" s="15"/>
      <c r="N317" s="15"/>
      <c r="O317" s="4"/>
      <c r="P317" s="4"/>
      <c r="Q317" s="4"/>
      <c r="R317" s="4"/>
      <c r="S317" s="4"/>
      <c r="T317" s="4"/>
      <c r="V317" s="4"/>
      <c r="W317" s="4"/>
      <c r="X317" s="4"/>
      <c r="Y317" s="4"/>
      <c r="Z317" s="4"/>
      <c r="AA317" s="4"/>
    </row>
    <row r="318" spans="1:27">
      <c r="A318" s="112">
        <v>45941</v>
      </c>
      <c r="B318" s="81" t="s">
        <v>171</v>
      </c>
      <c r="C318" s="81" t="s">
        <v>303</v>
      </c>
      <c r="D318" s="81"/>
      <c r="E318" s="81" t="s">
        <v>270</v>
      </c>
      <c r="F318" s="61" t="s">
        <v>187</v>
      </c>
      <c r="G318" s="115">
        <v>4.47</v>
      </c>
      <c r="H318" s="115">
        <v>4.5599999999999996</v>
      </c>
      <c r="I318" s="115">
        <v>355</v>
      </c>
      <c r="J318" s="115"/>
      <c r="K318" s="102"/>
      <c r="L318" s="15"/>
      <c r="M318" s="15"/>
      <c r="N318" s="15"/>
      <c r="O318" s="4"/>
      <c r="P318" s="4"/>
      <c r="Q318" s="4"/>
      <c r="R318" s="4"/>
      <c r="S318" s="4"/>
      <c r="T318" s="4"/>
      <c r="V318" s="4"/>
      <c r="W318" s="4"/>
      <c r="X318" s="4"/>
      <c r="Y318" s="4"/>
      <c r="Z318" s="4"/>
      <c r="AA318" s="4"/>
    </row>
    <row r="319" spans="1:27">
      <c r="A319" s="112">
        <v>45935</v>
      </c>
      <c r="B319" s="23" t="s">
        <v>27</v>
      </c>
      <c r="C319" s="77" t="s">
        <v>159</v>
      </c>
      <c r="D319" s="77"/>
      <c r="E319" s="77" t="s">
        <v>218</v>
      </c>
      <c r="F319" s="55" t="s">
        <v>187</v>
      </c>
      <c r="G319" s="119">
        <v>4.83</v>
      </c>
      <c r="H319" s="119">
        <v>4.9000000000000004</v>
      </c>
      <c r="I319" s="119">
        <v>31</v>
      </c>
      <c r="J319" s="120"/>
      <c r="K319" s="106"/>
      <c r="L319" s="63"/>
      <c r="M319" s="63"/>
      <c r="N319" s="63"/>
      <c r="O319" s="73"/>
      <c r="P319" s="73"/>
      <c r="Q319" s="73"/>
      <c r="R319" s="73"/>
      <c r="S319" s="73"/>
      <c r="T319" s="73"/>
      <c r="V319" s="4"/>
      <c r="W319" s="4"/>
      <c r="X319" s="4"/>
      <c r="Y319" s="4"/>
      <c r="Z319" s="4"/>
      <c r="AA319" s="4"/>
    </row>
    <row r="320" spans="1:27">
      <c r="A320" s="112">
        <v>45935</v>
      </c>
      <c r="B320" s="39" t="s">
        <v>19</v>
      </c>
      <c r="C320" s="81" t="s">
        <v>304</v>
      </c>
      <c r="D320" s="81"/>
      <c r="E320" s="81" t="s">
        <v>291</v>
      </c>
      <c r="F320" s="61" t="s">
        <v>187</v>
      </c>
      <c r="G320" s="115">
        <v>4.5599999999999996</v>
      </c>
      <c r="H320" s="115">
        <v>4.7699999999999996</v>
      </c>
      <c r="I320" s="115">
        <v>44</v>
      </c>
      <c r="J320" s="53"/>
      <c r="K320" s="107"/>
      <c r="L320" s="53"/>
      <c r="M320" s="53"/>
      <c r="N320" s="53"/>
      <c r="O320" s="54"/>
      <c r="P320" s="54"/>
      <c r="Q320" s="54"/>
      <c r="R320" s="54"/>
      <c r="S320" s="54"/>
      <c r="T320" s="54"/>
      <c r="V320" s="4"/>
      <c r="W320" s="4"/>
      <c r="X320" s="4"/>
      <c r="Y320" s="4"/>
      <c r="Z320" s="4"/>
      <c r="AA320" s="4"/>
    </row>
    <row r="321" spans="1:27">
      <c r="A321" s="112">
        <v>45935</v>
      </c>
      <c r="B321" s="77" t="s">
        <v>141</v>
      </c>
      <c r="C321" s="77" t="s">
        <v>59</v>
      </c>
      <c r="D321" s="77"/>
      <c r="E321" s="77" t="s">
        <v>301</v>
      </c>
      <c r="F321" s="55" t="s">
        <v>187</v>
      </c>
      <c r="G321" s="119">
        <v>4.34</v>
      </c>
      <c r="H321" s="119">
        <v>4.34</v>
      </c>
      <c r="I321" s="119">
        <v>402</v>
      </c>
      <c r="J321" s="63"/>
      <c r="K321" s="106"/>
      <c r="L321" s="63"/>
      <c r="M321" s="63"/>
      <c r="N321" s="63"/>
      <c r="O321" s="73"/>
      <c r="P321" s="73"/>
      <c r="Q321" s="73"/>
      <c r="R321" s="73"/>
      <c r="S321" s="73"/>
      <c r="T321" s="73"/>
      <c r="V321" s="4"/>
      <c r="W321" s="4"/>
      <c r="X321" s="4"/>
      <c r="Y321" s="4"/>
      <c r="Z321" s="4"/>
      <c r="AA321" s="4"/>
    </row>
    <row r="322" spans="1:27">
      <c r="A322" s="112">
        <v>45935</v>
      </c>
      <c r="B322" s="61" t="s">
        <v>81</v>
      </c>
      <c r="C322" s="81" t="s">
        <v>84</v>
      </c>
      <c r="D322" s="81"/>
      <c r="E322" s="81" t="s">
        <v>270</v>
      </c>
      <c r="F322" s="61" t="s">
        <v>187</v>
      </c>
      <c r="G322" s="115">
        <v>4.4400000000000004</v>
      </c>
      <c r="H322" s="115">
        <v>4.57</v>
      </c>
      <c r="I322" s="115">
        <v>487</v>
      </c>
      <c r="J322" s="53"/>
      <c r="K322" s="107"/>
      <c r="L322" s="53"/>
      <c r="M322" s="53"/>
      <c r="N322" s="53"/>
      <c r="O322" s="54"/>
      <c r="P322" s="54"/>
      <c r="Q322" s="54"/>
      <c r="R322" s="54"/>
      <c r="S322" s="54"/>
      <c r="T322" s="54"/>
      <c r="V322" s="4"/>
      <c r="W322" s="4"/>
      <c r="X322" s="4"/>
      <c r="Y322" s="4"/>
      <c r="Z322" s="4"/>
      <c r="AA322" s="4"/>
    </row>
    <row r="323" spans="1:27">
      <c r="A323" s="112">
        <v>45935</v>
      </c>
      <c r="B323" s="23" t="s">
        <v>47</v>
      </c>
      <c r="C323" s="77" t="s">
        <v>59</v>
      </c>
      <c r="D323" s="77"/>
      <c r="E323" s="77" t="s">
        <v>305</v>
      </c>
      <c r="F323" s="55" t="s">
        <v>187</v>
      </c>
      <c r="G323" s="119">
        <v>4.66</v>
      </c>
      <c r="H323" s="119">
        <v>4.66</v>
      </c>
      <c r="I323" s="119">
        <v>39</v>
      </c>
      <c r="J323" s="63"/>
      <c r="K323" s="106"/>
      <c r="L323" s="63"/>
      <c r="M323" s="63"/>
      <c r="N323" s="63"/>
      <c r="O323" s="73"/>
      <c r="P323" s="73"/>
      <c r="Q323" s="73"/>
      <c r="R323" s="73"/>
      <c r="S323" s="73"/>
      <c r="T323" s="73"/>
      <c r="V323" s="4"/>
      <c r="W323" s="4"/>
      <c r="X323" s="4"/>
      <c r="Y323" s="4"/>
      <c r="Z323" s="4"/>
      <c r="AA323" s="4"/>
    </row>
    <row r="324" spans="1:27">
      <c r="A324" s="112">
        <v>45934</v>
      </c>
      <c r="B324" s="23" t="s">
        <v>58</v>
      </c>
      <c r="C324" s="77" t="s">
        <v>169</v>
      </c>
      <c r="D324" s="77"/>
      <c r="E324" s="77" t="s">
        <v>218</v>
      </c>
      <c r="F324" s="55" t="s">
        <v>187</v>
      </c>
      <c r="G324" s="119">
        <v>4.58</v>
      </c>
      <c r="H324" s="119">
        <v>4.58</v>
      </c>
      <c r="I324" s="119">
        <v>212</v>
      </c>
      <c r="J324" s="63"/>
      <c r="K324" s="106"/>
      <c r="L324" s="63"/>
      <c r="M324" s="63"/>
      <c r="N324" s="63"/>
      <c r="O324" s="73"/>
      <c r="P324" s="73"/>
      <c r="Q324" s="73"/>
      <c r="R324" s="73"/>
      <c r="S324" s="73"/>
      <c r="T324" s="73"/>
      <c r="V324" s="4"/>
      <c r="W324" s="4"/>
      <c r="X324" s="4"/>
      <c r="Y324" s="4"/>
      <c r="Z324" s="4"/>
      <c r="AA324" s="4"/>
    </row>
    <row r="325" spans="1:27">
      <c r="A325" s="112">
        <v>45934</v>
      </c>
      <c r="B325" s="39" t="s">
        <v>19</v>
      </c>
      <c r="C325" s="81" t="s">
        <v>306</v>
      </c>
      <c r="D325" s="81"/>
      <c r="E325" s="81" t="s">
        <v>291</v>
      </c>
      <c r="F325" s="61" t="s">
        <v>187</v>
      </c>
      <c r="G325" s="115">
        <v>4.7</v>
      </c>
      <c r="H325" s="115">
        <v>4.78</v>
      </c>
      <c r="I325" s="119">
        <v>55</v>
      </c>
      <c r="J325" s="53"/>
      <c r="K325" s="107"/>
      <c r="L325" s="53"/>
      <c r="M325" s="53"/>
      <c r="N325" s="53"/>
      <c r="O325" s="54"/>
      <c r="P325" s="54"/>
      <c r="Q325" s="54"/>
      <c r="R325" s="54"/>
      <c r="S325" s="54"/>
      <c r="T325" s="54"/>
      <c r="V325" s="4"/>
      <c r="W325" s="4"/>
      <c r="X325" s="4"/>
      <c r="Y325" s="4"/>
      <c r="Z325" s="4"/>
      <c r="AA325" s="4"/>
    </row>
    <row r="326" spans="1:27">
      <c r="A326" s="112">
        <v>45934</v>
      </c>
      <c r="B326" s="77" t="s">
        <v>98</v>
      </c>
      <c r="C326" s="77" t="s">
        <v>307</v>
      </c>
      <c r="D326" s="77"/>
      <c r="E326" s="77" t="s">
        <v>308</v>
      </c>
      <c r="F326" s="55" t="s">
        <v>187</v>
      </c>
      <c r="G326" s="119">
        <v>4.5599999999999996</v>
      </c>
      <c r="H326" s="119">
        <v>4.6100000000000003</v>
      </c>
      <c r="I326" s="119">
        <v>325</v>
      </c>
      <c r="J326" s="63"/>
      <c r="K326" s="106"/>
      <c r="L326" s="63"/>
      <c r="M326" s="63"/>
      <c r="N326" s="63"/>
      <c r="O326" s="73"/>
      <c r="P326" s="73"/>
      <c r="Q326" s="73"/>
      <c r="R326" s="73"/>
      <c r="S326" s="73"/>
      <c r="T326" s="73"/>
      <c r="V326" s="4"/>
      <c r="W326" s="4"/>
      <c r="X326" s="4"/>
      <c r="Y326" s="4"/>
      <c r="Z326" s="4"/>
      <c r="AA326" s="4"/>
    </row>
    <row r="327" spans="1:27">
      <c r="A327" s="112">
        <v>45934</v>
      </c>
      <c r="B327" s="49" t="s">
        <v>77</v>
      </c>
      <c r="C327" s="81" t="s">
        <v>309</v>
      </c>
      <c r="D327" s="81"/>
      <c r="E327" s="81" t="s">
        <v>310</v>
      </c>
      <c r="F327" s="61" t="s">
        <v>187</v>
      </c>
      <c r="G327" s="115">
        <v>4.41</v>
      </c>
      <c r="H327" s="115">
        <v>4.6900000000000004</v>
      </c>
      <c r="I327" s="119">
        <v>108</v>
      </c>
      <c r="J327" s="53"/>
      <c r="K327" s="107"/>
      <c r="L327" s="53"/>
      <c r="M327" s="53"/>
      <c r="N327" s="53"/>
      <c r="O327" s="54"/>
      <c r="P327" s="54"/>
      <c r="Q327" s="54"/>
      <c r="R327" s="54"/>
      <c r="S327" s="54"/>
      <c r="T327" s="54"/>
      <c r="V327" s="4"/>
      <c r="W327" s="4"/>
      <c r="X327" s="4"/>
      <c r="Y327" s="4"/>
      <c r="Z327" s="4"/>
      <c r="AA327" s="4"/>
    </row>
    <row r="328" spans="1:27">
      <c r="A328" s="112">
        <v>45934</v>
      </c>
      <c r="B328" s="55" t="s">
        <v>81</v>
      </c>
      <c r="C328" s="77" t="s">
        <v>311</v>
      </c>
      <c r="D328" s="77"/>
      <c r="E328" s="77" t="s">
        <v>312</v>
      </c>
      <c r="F328" s="55" t="s">
        <v>187</v>
      </c>
      <c r="G328" s="119">
        <v>4.3099999999999996</v>
      </c>
      <c r="H328" s="119">
        <v>4.49</v>
      </c>
      <c r="I328" s="119">
        <v>754</v>
      </c>
      <c r="J328" s="63"/>
      <c r="K328" s="106"/>
      <c r="L328" s="63"/>
      <c r="M328" s="63"/>
      <c r="N328" s="63"/>
      <c r="O328" s="73"/>
      <c r="P328" s="73"/>
      <c r="Q328" s="73"/>
      <c r="R328" s="73"/>
      <c r="S328" s="73"/>
      <c r="T328" s="73"/>
      <c r="V328" s="4"/>
      <c r="W328" s="4"/>
      <c r="X328" s="4"/>
      <c r="Y328" s="4"/>
      <c r="Z328" s="4"/>
      <c r="AA328" s="4"/>
    </row>
    <row r="329" spans="1:27">
      <c r="A329" s="112">
        <v>45921</v>
      </c>
      <c r="B329" s="55" t="s">
        <v>141</v>
      </c>
      <c r="C329" s="55" t="s">
        <v>142</v>
      </c>
      <c r="D329" s="55"/>
      <c r="E329" s="55" t="s">
        <v>313</v>
      </c>
      <c r="F329" s="55" t="s">
        <v>187</v>
      </c>
      <c r="G329" s="119">
        <v>4.8</v>
      </c>
      <c r="H329" s="119">
        <v>4.8</v>
      </c>
      <c r="I329" s="119">
        <v>10</v>
      </c>
      <c r="J329" s="15"/>
      <c r="K329" s="102"/>
      <c r="L329" s="15"/>
      <c r="M329" s="15"/>
      <c r="N329" s="15"/>
      <c r="O329" s="4"/>
      <c r="P329" s="4"/>
      <c r="Q329" s="4"/>
      <c r="R329" s="4"/>
      <c r="S329" s="4"/>
      <c r="T329" s="4"/>
      <c r="V329" s="4"/>
      <c r="W329" s="4"/>
      <c r="X329" s="4"/>
      <c r="Y329" s="4"/>
      <c r="Z329" s="4"/>
      <c r="AA329" s="4"/>
    </row>
    <row r="330" spans="1:27">
      <c r="A330" s="112">
        <v>45921</v>
      </c>
      <c r="B330" s="61" t="s">
        <v>314</v>
      </c>
      <c r="C330" s="61" t="s">
        <v>315</v>
      </c>
      <c r="D330" s="81"/>
      <c r="E330" s="81" t="s">
        <v>316</v>
      </c>
      <c r="F330" s="81" t="s">
        <v>187</v>
      </c>
      <c r="G330" s="99">
        <v>3.7</v>
      </c>
      <c r="H330" s="99">
        <v>4</v>
      </c>
      <c r="I330" s="119">
        <v>9</v>
      </c>
      <c r="J330" s="15"/>
      <c r="K330" s="102"/>
      <c r="L330" s="15"/>
      <c r="M330" s="15"/>
      <c r="N330" s="15"/>
      <c r="O330" s="4"/>
      <c r="P330" s="4"/>
      <c r="Q330" s="4"/>
      <c r="R330" s="4"/>
      <c r="S330" s="4"/>
      <c r="T330" s="4"/>
      <c r="V330" s="4"/>
      <c r="W330" s="4"/>
      <c r="X330" s="4"/>
      <c r="Y330" s="4"/>
      <c r="Z330" s="4"/>
      <c r="AA330" s="4"/>
    </row>
    <row r="331" spans="1:27">
      <c r="A331" s="112">
        <v>45921</v>
      </c>
      <c r="B331" s="62" t="s">
        <v>77</v>
      </c>
      <c r="C331" s="55" t="s">
        <v>317</v>
      </c>
      <c r="D331" s="55"/>
      <c r="E331" s="55" t="s">
        <v>318</v>
      </c>
      <c r="F331" s="55" t="s">
        <v>187</v>
      </c>
      <c r="G331" s="119">
        <v>4.71</v>
      </c>
      <c r="H331" s="119">
        <v>4.8</v>
      </c>
      <c r="I331" s="119">
        <v>91</v>
      </c>
      <c r="J331" s="15"/>
      <c r="K331" s="102"/>
      <c r="L331" s="15"/>
      <c r="M331" s="15"/>
      <c r="N331" s="15"/>
      <c r="O331" s="4"/>
      <c r="P331" s="4"/>
      <c r="Q331" s="4"/>
      <c r="R331" s="4"/>
      <c r="S331" s="4"/>
      <c r="T331" s="4"/>
      <c r="V331" s="4"/>
      <c r="W331" s="4"/>
      <c r="X331" s="4"/>
      <c r="Y331" s="4"/>
      <c r="Z331" s="4"/>
      <c r="AA331" s="4"/>
    </row>
    <row r="332" spans="1:27">
      <c r="A332" s="112">
        <v>45920</v>
      </c>
      <c r="B332" s="49" t="s">
        <v>77</v>
      </c>
      <c r="C332" s="55" t="s">
        <v>319</v>
      </c>
      <c r="D332" s="61"/>
      <c r="E332" s="61" t="s">
        <v>313</v>
      </c>
      <c r="F332" s="61" t="s">
        <v>320</v>
      </c>
      <c r="G332" s="115">
        <v>4.7699999999999996</v>
      </c>
      <c r="H332" s="115">
        <v>4.88</v>
      </c>
      <c r="I332" s="119">
        <v>27</v>
      </c>
      <c r="J332" s="15"/>
      <c r="K332" s="102"/>
      <c r="L332" s="15"/>
      <c r="M332" s="15"/>
      <c r="N332" s="15"/>
      <c r="O332" s="4"/>
      <c r="P332" s="4"/>
      <c r="Q332" s="4"/>
      <c r="R332" s="4"/>
      <c r="S332" s="4"/>
      <c r="T332" s="4"/>
      <c r="V332" s="4"/>
      <c r="W332" s="4"/>
      <c r="X332" s="4"/>
      <c r="Y332" s="4"/>
      <c r="Z332" s="4"/>
      <c r="AA332" s="4"/>
    </row>
    <row r="333" spans="1:27">
      <c r="A333" s="112">
        <v>45920</v>
      </c>
      <c r="B333" s="34" t="s">
        <v>19</v>
      </c>
      <c r="C333" s="55" t="s">
        <v>321</v>
      </c>
      <c r="D333" s="55"/>
      <c r="E333" s="55" t="s">
        <v>322</v>
      </c>
      <c r="F333" s="55" t="s">
        <v>320</v>
      </c>
      <c r="G333" s="119">
        <v>4.6500000000000004</v>
      </c>
      <c r="H333" s="119">
        <v>4.79</v>
      </c>
      <c r="I333" s="119">
        <v>79</v>
      </c>
      <c r="J333" s="15"/>
      <c r="K333" s="102"/>
      <c r="L333" s="15"/>
      <c r="M333" s="15"/>
      <c r="N333" s="15"/>
      <c r="O333" s="4"/>
      <c r="P333" s="4"/>
      <c r="Q333" s="4"/>
      <c r="R333" s="4"/>
      <c r="S333" s="4"/>
      <c r="T333" s="4"/>
      <c r="V333" s="4"/>
      <c r="W333" s="4"/>
      <c r="X333" s="4"/>
      <c r="Y333" s="4"/>
      <c r="Z333" s="4"/>
      <c r="AA333" s="4"/>
    </row>
    <row r="334" spans="1:27">
      <c r="A334" s="112">
        <v>45920</v>
      </c>
      <c r="B334" s="81" t="s">
        <v>323</v>
      </c>
      <c r="C334" s="61" t="s">
        <v>324</v>
      </c>
      <c r="D334" s="81"/>
      <c r="E334" s="81" t="s">
        <v>316</v>
      </c>
      <c r="F334" s="55" t="s">
        <v>320</v>
      </c>
      <c r="G334" s="121">
        <v>4.2</v>
      </c>
      <c r="H334" s="119">
        <v>4</v>
      </c>
      <c r="I334" s="119">
        <v>5</v>
      </c>
      <c r="J334" s="15"/>
      <c r="K334" s="102"/>
      <c r="L334" s="15"/>
      <c r="M334" s="15"/>
      <c r="N334" s="15"/>
      <c r="O334" s="4"/>
      <c r="P334" s="4"/>
      <c r="Q334" s="4"/>
      <c r="R334" s="4"/>
      <c r="S334" s="4"/>
      <c r="T334" s="4"/>
      <c r="V334" s="4"/>
      <c r="W334" s="4"/>
      <c r="X334" s="4"/>
      <c r="Y334" s="4"/>
      <c r="Z334" s="4"/>
      <c r="AA334" s="4"/>
    </row>
    <row r="335" spans="1:27">
      <c r="A335" s="112">
        <v>45914</v>
      </c>
      <c r="B335" s="26" t="s">
        <v>47</v>
      </c>
      <c r="C335" s="55" t="s">
        <v>325</v>
      </c>
      <c r="D335" s="55"/>
      <c r="E335" s="55" t="s">
        <v>313</v>
      </c>
      <c r="F335" s="55" t="s">
        <v>187</v>
      </c>
      <c r="G335" s="119">
        <v>4.74</v>
      </c>
      <c r="H335" s="119">
        <v>4.7</v>
      </c>
      <c r="I335" s="119">
        <v>31</v>
      </c>
      <c r="J335" s="15"/>
      <c r="K335" s="102"/>
      <c r="L335" s="15"/>
      <c r="M335" s="15"/>
      <c r="N335" s="15"/>
      <c r="O335" s="4"/>
      <c r="P335" s="4"/>
      <c r="Q335" s="4"/>
      <c r="R335" s="4"/>
      <c r="S335" s="4"/>
      <c r="T335" s="4"/>
      <c r="V335" s="4"/>
      <c r="W335" s="4"/>
      <c r="X335" s="4"/>
      <c r="Y335" s="4"/>
      <c r="Z335" s="4"/>
      <c r="AA335" s="4"/>
    </row>
    <row r="336" spans="1:27">
      <c r="A336" s="112">
        <v>45914</v>
      </c>
      <c r="B336" s="10" t="s">
        <v>19</v>
      </c>
      <c r="C336" s="61" t="s">
        <v>326</v>
      </c>
      <c r="D336" s="61"/>
      <c r="E336" s="61" t="s">
        <v>322</v>
      </c>
      <c r="F336" s="61" t="s">
        <v>187</v>
      </c>
      <c r="G336" s="115">
        <v>4.66</v>
      </c>
      <c r="H336" s="115">
        <v>4.7699999999999996</v>
      </c>
      <c r="I336" s="115">
        <v>84</v>
      </c>
      <c r="J336" s="15"/>
      <c r="K336" s="102"/>
      <c r="L336" s="15"/>
      <c r="M336" s="15"/>
      <c r="N336" s="15"/>
      <c r="O336" s="4"/>
      <c r="P336" s="4"/>
      <c r="Q336" s="4"/>
      <c r="R336" s="4"/>
      <c r="S336" s="4"/>
      <c r="T336" s="4"/>
      <c r="V336" s="4"/>
      <c r="W336" s="4"/>
      <c r="X336" s="4"/>
      <c r="Y336" s="4"/>
      <c r="Z336" s="4"/>
      <c r="AA336" s="4"/>
    </row>
    <row r="337" spans="1:27">
      <c r="A337" s="112">
        <v>45914</v>
      </c>
      <c r="B337" s="68" t="s">
        <v>98</v>
      </c>
      <c r="C337" s="55" t="s">
        <v>315</v>
      </c>
      <c r="D337" s="55"/>
      <c r="E337" s="55" t="s">
        <v>327</v>
      </c>
      <c r="F337" s="55" t="s">
        <v>187</v>
      </c>
      <c r="G337" s="119">
        <v>4.5999999999999996</v>
      </c>
      <c r="H337" s="119">
        <v>4.6399999999999997</v>
      </c>
      <c r="I337" s="119">
        <v>517</v>
      </c>
      <c r="J337" s="15"/>
      <c r="K337" s="102"/>
      <c r="L337" s="15"/>
      <c r="M337" s="15"/>
      <c r="N337" s="15"/>
      <c r="O337" s="4"/>
      <c r="P337" s="4"/>
      <c r="Q337" s="4"/>
      <c r="R337" s="4"/>
      <c r="S337" s="4"/>
      <c r="T337" s="4"/>
      <c r="V337" s="4"/>
      <c r="W337" s="4"/>
      <c r="X337" s="4"/>
      <c r="Y337" s="4"/>
      <c r="Z337" s="4"/>
      <c r="AA337" s="4"/>
    </row>
    <row r="338" spans="1:27">
      <c r="A338" s="112">
        <v>45914</v>
      </c>
      <c r="B338" s="62" t="s">
        <v>77</v>
      </c>
      <c r="C338" s="61" t="s">
        <v>328</v>
      </c>
      <c r="D338" s="81"/>
      <c r="E338" s="81" t="s">
        <v>329</v>
      </c>
      <c r="F338" s="61" t="s">
        <v>22</v>
      </c>
      <c r="G338" s="115">
        <v>4.42</v>
      </c>
      <c r="H338" s="115">
        <v>4.63</v>
      </c>
      <c r="I338" s="115">
        <v>82</v>
      </c>
      <c r="J338" s="15"/>
      <c r="K338" s="102"/>
      <c r="L338" s="15"/>
      <c r="M338" s="15"/>
      <c r="N338" s="15"/>
      <c r="O338" s="4"/>
      <c r="P338" s="4"/>
      <c r="Q338" s="4"/>
      <c r="R338" s="4"/>
      <c r="S338" s="4"/>
      <c r="T338" s="4"/>
      <c r="V338" s="4"/>
      <c r="W338" s="4"/>
      <c r="X338" s="4"/>
      <c r="Y338" s="4"/>
      <c r="Z338" s="4"/>
      <c r="AA338" s="4"/>
    </row>
    <row r="339" spans="1:27">
      <c r="A339" s="112">
        <v>45913</v>
      </c>
      <c r="B339" s="61" t="s">
        <v>68</v>
      </c>
      <c r="C339" s="61" t="s">
        <v>330</v>
      </c>
      <c r="D339" s="61"/>
      <c r="E339" s="61" t="s">
        <v>313</v>
      </c>
      <c r="F339" s="61" t="s">
        <v>187</v>
      </c>
      <c r="G339" s="115">
        <v>4.6900000000000004</v>
      </c>
      <c r="H339" s="115">
        <v>4.92</v>
      </c>
      <c r="I339" s="119">
        <v>13</v>
      </c>
      <c r="J339" s="15"/>
      <c r="K339" s="102"/>
      <c r="L339" s="15"/>
      <c r="M339" s="15"/>
      <c r="N339" s="15"/>
      <c r="O339" s="4"/>
      <c r="P339" s="4"/>
      <c r="Q339" s="4"/>
      <c r="R339" s="4"/>
      <c r="S339" s="4"/>
      <c r="T339" s="4"/>
      <c r="V339" s="4"/>
      <c r="W339" s="4"/>
      <c r="X339" s="4"/>
      <c r="Y339" s="4"/>
      <c r="Z339" s="4"/>
      <c r="AA339" s="4"/>
    </row>
    <row r="340" spans="1:27">
      <c r="A340" s="112">
        <v>45913</v>
      </c>
      <c r="B340" s="34" t="s">
        <v>19</v>
      </c>
      <c r="C340" s="55" t="s">
        <v>331</v>
      </c>
      <c r="D340" s="55"/>
      <c r="E340" s="55" t="s">
        <v>322</v>
      </c>
      <c r="F340" s="55" t="s">
        <v>187</v>
      </c>
      <c r="G340" s="119">
        <v>4.63</v>
      </c>
      <c r="H340" s="119">
        <v>4.74</v>
      </c>
      <c r="I340" s="119">
        <v>75</v>
      </c>
      <c r="J340" s="15"/>
      <c r="K340" s="102"/>
      <c r="L340" s="15"/>
      <c r="M340" s="15"/>
      <c r="N340" s="15"/>
      <c r="O340" s="4"/>
      <c r="P340" s="4"/>
      <c r="Q340" s="4"/>
      <c r="R340" s="4"/>
      <c r="S340" s="4"/>
      <c r="T340" s="4"/>
      <c r="V340" s="4"/>
      <c r="W340" s="4"/>
      <c r="X340" s="4"/>
      <c r="Y340" s="4"/>
      <c r="Z340" s="4"/>
      <c r="AA340" s="4"/>
    </row>
    <row r="341" spans="1:27">
      <c r="A341" s="112">
        <v>45913</v>
      </c>
      <c r="B341" s="68" t="s">
        <v>171</v>
      </c>
      <c r="C341" s="122" t="s">
        <v>332</v>
      </c>
      <c r="D341" s="61"/>
      <c r="E341" s="61" t="s">
        <v>327</v>
      </c>
      <c r="F341" s="61" t="s">
        <v>187</v>
      </c>
      <c r="G341" s="115">
        <v>4.5</v>
      </c>
      <c r="H341" s="115">
        <v>4.5599999999999996</v>
      </c>
      <c r="I341" s="115">
        <v>554</v>
      </c>
      <c r="J341" s="15"/>
      <c r="K341" s="102"/>
      <c r="L341" s="15"/>
      <c r="M341" s="15"/>
      <c r="N341" s="15"/>
      <c r="O341" s="4"/>
      <c r="P341" s="4"/>
      <c r="Q341" s="4"/>
      <c r="R341" s="4"/>
      <c r="S341" s="4"/>
      <c r="T341" s="4"/>
      <c r="V341" s="4"/>
      <c r="W341" s="4"/>
      <c r="X341" s="4"/>
      <c r="Y341" s="4"/>
      <c r="Z341" s="4"/>
      <c r="AA341" s="4"/>
    </row>
    <row r="342" spans="1:27">
      <c r="A342" s="112">
        <v>45913</v>
      </c>
      <c r="B342" s="61" t="s">
        <v>333</v>
      </c>
      <c r="C342" s="55" t="s">
        <v>334</v>
      </c>
      <c r="D342" s="77"/>
      <c r="E342" s="77" t="s">
        <v>329</v>
      </c>
      <c r="F342" s="55" t="s">
        <v>22</v>
      </c>
      <c r="G342" s="63">
        <v>4.6399999999999997</v>
      </c>
      <c r="H342" s="63">
        <v>4.76</v>
      </c>
      <c r="I342" s="119">
        <v>474</v>
      </c>
      <c r="J342" s="15"/>
      <c r="K342" s="102"/>
      <c r="L342" s="15"/>
      <c r="M342" s="15"/>
      <c r="N342" s="15"/>
      <c r="O342" s="4"/>
      <c r="P342" s="4"/>
      <c r="Q342" s="4"/>
      <c r="R342" s="4"/>
      <c r="S342" s="4"/>
      <c r="T342" s="4"/>
      <c r="V342" s="4"/>
      <c r="W342" s="4"/>
      <c r="X342" s="4"/>
      <c r="Y342" s="4"/>
      <c r="Z342" s="4"/>
      <c r="AA342" s="4"/>
    </row>
    <row r="343" spans="1:27">
      <c r="A343" s="112">
        <v>45907</v>
      </c>
      <c r="B343" s="55" t="s">
        <v>68</v>
      </c>
      <c r="C343" s="55" t="s">
        <v>335</v>
      </c>
      <c r="D343" s="55"/>
      <c r="E343" s="55" t="s">
        <v>313</v>
      </c>
      <c r="F343" s="55" t="s">
        <v>187</v>
      </c>
      <c r="G343" s="119">
        <v>4.87</v>
      </c>
      <c r="H343" s="119">
        <v>4.87</v>
      </c>
      <c r="I343" s="119">
        <v>40</v>
      </c>
      <c r="J343" s="15"/>
      <c r="K343" s="102"/>
      <c r="L343" s="15"/>
      <c r="M343" s="15"/>
      <c r="N343" s="15"/>
      <c r="O343" s="4"/>
      <c r="P343" s="4"/>
      <c r="Q343" s="4"/>
      <c r="R343" s="4"/>
      <c r="S343" s="4"/>
      <c r="T343" s="4"/>
      <c r="V343" s="4"/>
      <c r="W343" s="4"/>
      <c r="X343" s="4"/>
      <c r="Y343" s="4"/>
      <c r="Z343" s="4"/>
      <c r="AA343" s="4"/>
    </row>
    <row r="344" spans="1:27">
      <c r="A344" s="112">
        <v>45907</v>
      </c>
      <c r="B344" s="39" t="s">
        <v>19</v>
      </c>
      <c r="C344" s="61" t="s">
        <v>336</v>
      </c>
      <c r="D344" s="61"/>
      <c r="E344" s="61" t="s">
        <v>322</v>
      </c>
      <c r="F344" s="61" t="s">
        <v>187</v>
      </c>
      <c r="G344" s="115">
        <v>4.71</v>
      </c>
      <c r="H344" s="119">
        <v>4.83</v>
      </c>
      <c r="I344" s="119">
        <v>78</v>
      </c>
      <c r="J344" s="15"/>
      <c r="K344" s="102"/>
      <c r="L344" s="15"/>
      <c r="M344" s="15"/>
      <c r="N344" s="15"/>
      <c r="O344" s="4"/>
      <c r="P344" s="4"/>
      <c r="Q344" s="4"/>
      <c r="R344" s="4"/>
      <c r="S344" s="4"/>
      <c r="T344" s="4"/>
      <c r="V344" s="4"/>
      <c r="W344" s="4"/>
      <c r="X344" s="4"/>
      <c r="Y344" s="4"/>
      <c r="Z344" s="4"/>
      <c r="AA344" s="4"/>
    </row>
    <row r="345" spans="1:27">
      <c r="A345" s="112">
        <v>45907</v>
      </c>
      <c r="B345" s="55" t="s">
        <v>166</v>
      </c>
      <c r="C345" s="55" t="s">
        <v>202</v>
      </c>
      <c r="D345" s="55"/>
      <c r="E345" s="55" t="s">
        <v>337</v>
      </c>
      <c r="F345" s="55" t="s">
        <v>187</v>
      </c>
      <c r="G345" s="119">
        <v>4.0599999999999996</v>
      </c>
      <c r="H345" s="119">
        <v>4.13</v>
      </c>
      <c r="I345" s="119">
        <v>147</v>
      </c>
      <c r="J345" s="15"/>
      <c r="K345" s="102"/>
      <c r="L345" s="15"/>
      <c r="M345" s="15"/>
      <c r="N345" s="15"/>
      <c r="O345" s="4"/>
      <c r="P345" s="4"/>
      <c r="Q345" s="4"/>
      <c r="R345" s="4"/>
      <c r="S345" s="4"/>
      <c r="T345" s="4"/>
      <c r="V345" s="4"/>
      <c r="W345" s="4"/>
      <c r="X345" s="4"/>
      <c r="Y345" s="4"/>
      <c r="Z345" s="4"/>
      <c r="AA345" s="4"/>
    </row>
    <row r="346" spans="1:27">
      <c r="A346" s="112">
        <v>45907</v>
      </c>
      <c r="B346" s="81" t="s">
        <v>33</v>
      </c>
      <c r="C346" s="61" t="s">
        <v>211</v>
      </c>
      <c r="D346" s="61"/>
      <c r="E346" s="61" t="s">
        <v>338</v>
      </c>
      <c r="F346" s="61" t="s">
        <v>22</v>
      </c>
      <c r="G346" s="115">
        <v>4.55</v>
      </c>
      <c r="H346" s="119">
        <v>4.6500000000000004</v>
      </c>
      <c r="I346" s="119">
        <v>20</v>
      </c>
      <c r="J346" s="15"/>
      <c r="K346" s="102"/>
      <c r="L346" s="15"/>
      <c r="M346" s="15"/>
      <c r="N346" s="15"/>
      <c r="O346" s="4"/>
      <c r="P346" s="4"/>
      <c r="Q346" s="4"/>
      <c r="R346" s="4"/>
      <c r="S346" s="4"/>
      <c r="T346" s="4"/>
      <c r="V346" s="4"/>
      <c r="W346" s="4"/>
      <c r="X346" s="4"/>
      <c r="Y346" s="4"/>
      <c r="Z346" s="4"/>
      <c r="AA346" s="4"/>
    </row>
    <row r="347" spans="1:27">
      <c r="A347" s="112">
        <v>45907</v>
      </c>
      <c r="B347" s="58" t="s">
        <v>81</v>
      </c>
      <c r="C347" s="55" t="s">
        <v>114</v>
      </c>
      <c r="D347" s="55"/>
      <c r="E347" s="55" t="s">
        <v>339</v>
      </c>
      <c r="F347" s="55" t="s">
        <v>22</v>
      </c>
      <c r="G347" s="121">
        <v>4.76</v>
      </c>
      <c r="H347" s="119">
        <v>4.82</v>
      </c>
      <c r="I347" s="119">
        <v>95</v>
      </c>
      <c r="J347" s="15"/>
      <c r="K347" s="102"/>
      <c r="L347" s="15"/>
      <c r="M347" s="15"/>
      <c r="N347" s="15"/>
      <c r="O347" s="4"/>
      <c r="P347" s="4"/>
      <c r="Q347" s="4"/>
      <c r="R347" s="4"/>
      <c r="S347" s="4"/>
      <c r="T347" s="4"/>
      <c r="V347" s="4"/>
      <c r="W347" s="4"/>
      <c r="X347" s="4"/>
      <c r="Y347" s="4"/>
      <c r="Z347" s="4"/>
      <c r="AA347" s="4"/>
    </row>
    <row r="348" spans="1:27">
      <c r="A348" s="112">
        <v>45907</v>
      </c>
      <c r="B348" s="61" t="s">
        <v>81</v>
      </c>
      <c r="C348" s="61" t="s">
        <v>282</v>
      </c>
      <c r="D348" s="81"/>
      <c r="E348" s="81" t="s">
        <v>340</v>
      </c>
      <c r="F348" s="61" t="s">
        <v>22</v>
      </c>
      <c r="G348" s="115">
        <v>4.67</v>
      </c>
      <c r="H348" s="119">
        <v>4.78</v>
      </c>
      <c r="I348" s="119">
        <v>155</v>
      </c>
      <c r="J348" s="15"/>
      <c r="K348" s="102"/>
      <c r="L348" s="15"/>
      <c r="M348" s="15"/>
      <c r="N348" s="15"/>
      <c r="O348" s="4"/>
      <c r="P348" s="4"/>
      <c r="Q348" s="4"/>
      <c r="R348" s="4"/>
      <c r="S348" s="4"/>
      <c r="T348" s="4"/>
      <c r="V348" s="4"/>
      <c r="W348" s="4"/>
      <c r="X348" s="4"/>
      <c r="Y348" s="4"/>
      <c r="Z348" s="4"/>
      <c r="AA348" s="4"/>
    </row>
    <row r="349" spans="1:27">
      <c r="A349" s="112">
        <v>45907</v>
      </c>
      <c r="B349" s="62" t="s">
        <v>77</v>
      </c>
      <c r="C349" s="55" t="s">
        <v>341</v>
      </c>
      <c r="D349" s="77"/>
      <c r="E349" s="77" t="s">
        <v>342</v>
      </c>
      <c r="F349" s="55" t="s">
        <v>22</v>
      </c>
      <c r="G349" s="119">
        <v>4.62</v>
      </c>
      <c r="H349" s="119">
        <v>4.68</v>
      </c>
      <c r="I349" s="119">
        <v>129</v>
      </c>
      <c r="J349" s="15"/>
      <c r="K349" s="102"/>
      <c r="L349" s="15"/>
      <c r="M349" s="15"/>
      <c r="N349" s="15"/>
      <c r="O349" s="4"/>
      <c r="P349" s="4"/>
      <c r="Q349" s="4"/>
      <c r="R349" s="4"/>
      <c r="S349" s="4"/>
      <c r="T349" s="4"/>
      <c r="V349" s="4"/>
      <c r="W349" s="4"/>
      <c r="X349" s="4"/>
      <c r="Y349" s="4"/>
      <c r="Z349" s="4"/>
      <c r="AA349" s="4"/>
    </row>
    <row r="350" spans="1:27">
      <c r="A350" s="112">
        <v>45907</v>
      </c>
      <c r="B350" s="61" t="s">
        <v>333</v>
      </c>
      <c r="C350" s="61" t="s">
        <v>343</v>
      </c>
      <c r="D350" s="81"/>
      <c r="E350" s="81" t="s">
        <v>329</v>
      </c>
      <c r="F350" s="61" t="s">
        <v>22</v>
      </c>
      <c r="G350" s="115">
        <v>4.7</v>
      </c>
      <c r="H350" s="119">
        <v>4.7699999999999996</v>
      </c>
      <c r="I350" s="119">
        <v>455</v>
      </c>
      <c r="J350" s="15"/>
      <c r="K350" s="102"/>
      <c r="L350" s="15"/>
      <c r="M350" s="15"/>
      <c r="N350" s="15"/>
      <c r="O350" s="4"/>
      <c r="P350" s="4"/>
      <c r="Q350" s="4"/>
      <c r="R350" s="4"/>
      <c r="S350" s="4"/>
      <c r="T350" s="4"/>
      <c r="V350" s="4"/>
      <c r="W350" s="4"/>
      <c r="X350" s="4"/>
      <c r="Y350" s="4"/>
      <c r="Z350" s="4"/>
      <c r="AA350" s="4"/>
    </row>
    <row r="351" spans="1:27">
      <c r="A351" s="112">
        <v>45906</v>
      </c>
      <c r="B351" s="55" t="s">
        <v>68</v>
      </c>
      <c r="C351" s="55" t="s">
        <v>307</v>
      </c>
      <c r="D351" s="55"/>
      <c r="E351" s="55" t="s">
        <v>313</v>
      </c>
      <c r="F351" s="55" t="s">
        <v>187</v>
      </c>
      <c r="G351" s="119">
        <v>4.9000000000000004</v>
      </c>
      <c r="H351" s="119">
        <v>4.96</v>
      </c>
      <c r="I351" s="119">
        <v>30</v>
      </c>
      <c r="J351" s="15"/>
      <c r="K351" s="102"/>
      <c r="L351" s="15"/>
      <c r="M351" s="15"/>
      <c r="N351" s="15"/>
      <c r="O351" s="4"/>
      <c r="P351" s="4"/>
      <c r="Q351" s="4"/>
      <c r="R351" s="4"/>
      <c r="S351" s="4"/>
      <c r="T351" s="4"/>
      <c r="V351" s="4"/>
      <c r="W351" s="4"/>
      <c r="X351" s="4"/>
      <c r="Y351" s="4"/>
      <c r="Z351" s="4"/>
      <c r="AA351" s="4"/>
    </row>
    <row r="352" spans="1:27">
      <c r="A352" s="112">
        <v>45906</v>
      </c>
      <c r="B352" s="39" t="s">
        <v>19</v>
      </c>
      <c r="C352" s="61" t="s">
        <v>344</v>
      </c>
      <c r="D352" s="61"/>
      <c r="E352" s="61" t="s">
        <v>322</v>
      </c>
      <c r="F352" s="61" t="s">
        <v>187</v>
      </c>
      <c r="G352" s="115">
        <v>4.68</v>
      </c>
      <c r="H352" s="115">
        <v>4.72</v>
      </c>
      <c r="I352" s="115">
        <v>70</v>
      </c>
      <c r="J352" s="15"/>
      <c r="K352" s="102"/>
      <c r="L352" s="15"/>
      <c r="M352" s="15"/>
      <c r="N352" s="15"/>
      <c r="O352" s="4"/>
      <c r="P352" s="4"/>
      <c r="Q352" s="4"/>
      <c r="R352" s="4"/>
      <c r="S352" s="4"/>
      <c r="T352" s="4"/>
      <c r="V352" s="4"/>
      <c r="W352" s="4"/>
      <c r="X352" s="4"/>
      <c r="Y352" s="4"/>
      <c r="Z352" s="4"/>
      <c r="AA352" s="4"/>
    </row>
    <row r="353" spans="1:27">
      <c r="A353" s="112">
        <v>45906</v>
      </c>
      <c r="B353" s="37" t="s">
        <v>132</v>
      </c>
      <c r="C353" s="55" t="s">
        <v>345</v>
      </c>
      <c r="D353" s="55"/>
      <c r="E353" s="55" t="s">
        <v>346</v>
      </c>
      <c r="F353" s="55" t="s">
        <v>22</v>
      </c>
      <c r="G353" s="119">
        <v>4.5999999999999996</v>
      </c>
      <c r="H353" s="119">
        <v>4.63</v>
      </c>
      <c r="I353" s="119">
        <v>65</v>
      </c>
      <c r="J353" s="15"/>
      <c r="K353" s="102"/>
      <c r="L353" s="15"/>
      <c r="M353" s="15"/>
      <c r="N353" s="15"/>
      <c r="O353" s="4"/>
      <c r="P353" s="4"/>
      <c r="Q353" s="4"/>
      <c r="R353" s="4"/>
      <c r="S353" s="4"/>
      <c r="T353" s="4"/>
      <c r="V353" s="4"/>
      <c r="W353" s="4"/>
      <c r="X353" s="4"/>
      <c r="Y353" s="4"/>
      <c r="Z353" s="4"/>
      <c r="AA353" s="4"/>
    </row>
    <row r="354" spans="1:27">
      <c r="A354" s="112">
        <v>45906</v>
      </c>
      <c r="B354" s="61" t="s">
        <v>166</v>
      </c>
      <c r="C354" s="61" t="s">
        <v>205</v>
      </c>
      <c r="D354" s="61"/>
      <c r="E354" s="61" t="s">
        <v>337</v>
      </c>
      <c r="F354" s="61" t="s">
        <v>187</v>
      </c>
      <c r="G354" s="99">
        <v>3.53</v>
      </c>
      <c r="H354" s="99">
        <v>3.61</v>
      </c>
      <c r="I354" s="99">
        <v>137</v>
      </c>
      <c r="J354" s="15"/>
      <c r="K354" s="102"/>
      <c r="L354" s="15"/>
      <c r="M354" s="15"/>
      <c r="N354" s="15"/>
      <c r="O354" s="4"/>
      <c r="P354" s="4"/>
      <c r="Q354" s="4"/>
      <c r="R354" s="4"/>
      <c r="S354" s="4"/>
      <c r="T354" s="4"/>
      <c r="V354" s="4"/>
      <c r="W354" s="4"/>
      <c r="X354" s="4"/>
      <c r="Y354" s="4"/>
      <c r="Z354" s="4"/>
      <c r="AA354" s="4"/>
    </row>
    <row r="355" spans="1:27">
      <c r="A355" s="112">
        <v>45906</v>
      </c>
      <c r="B355" s="77" t="s">
        <v>33</v>
      </c>
      <c r="C355" s="55" t="s">
        <v>222</v>
      </c>
      <c r="D355" s="55"/>
      <c r="E355" s="55" t="s">
        <v>338</v>
      </c>
      <c r="F355" s="55" t="s">
        <v>22</v>
      </c>
      <c r="G355" s="119">
        <v>4.66</v>
      </c>
      <c r="H355" s="119">
        <v>4.76</v>
      </c>
      <c r="I355" s="119">
        <v>50</v>
      </c>
      <c r="J355" s="15"/>
      <c r="K355" s="102"/>
      <c r="L355" s="15"/>
      <c r="M355" s="15"/>
      <c r="N355" s="15"/>
      <c r="O355" s="4"/>
      <c r="P355" s="4"/>
      <c r="Q355" s="4"/>
      <c r="R355" s="4"/>
      <c r="S355" s="4"/>
      <c r="T355" s="4"/>
      <c r="V355" s="4"/>
      <c r="W355" s="4"/>
      <c r="X355" s="4"/>
      <c r="Y355" s="4"/>
      <c r="Z355" s="4"/>
      <c r="AA355" s="4"/>
    </row>
    <row r="356" spans="1:27">
      <c r="A356" s="112">
        <v>45906</v>
      </c>
      <c r="B356" s="81" t="s">
        <v>33</v>
      </c>
      <c r="C356" s="61" t="s">
        <v>347</v>
      </c>
      <c r="D356" s="61"/>
      <c r="E356" s="61" t="s">
        <v>339</v>
      </c>
      <c r="F356" s="61" t="s">
        <v>22</v>
      </c>
      <c r="G356" s="115">
        <v>4.5599999999999996</v>
      </c>
      <c r="H356" s="115">
        <v>4.67</v>
      </c>
      <c r="I356" s="115">
        <v>95</v>
      </c>
      <c r="J356" s="15"/>
      <c r="K356" s="102"/>
      <c r="L356" s="15"/>
      <c r="M356" s="15"/>
      <c r="N356" s="15"/>
      <c r="O356" s="4"/>
      <c r="P356" s="4"/>
      <c r="Q356" s="4"/>
      <c r="R356" s="4"/>
      <c r="S356" s="4"/>
      <c r="T356" s="4"/>
      <c r="V356" s="4"/>
      <c r="W356" s="4"/>
      <c r="X356" s="4"/>
      <c r="Y356" s="4"/>
      <c r="Z356" s="4"/>
      <c r="AA356" s="4"/>
    </row>
    <row r="357" spans="1:27">
      <c r="A357" s="112">
        <v>45906</v>
      </c>
      <c r="B357" s="55" t="s">
        <v>81</v>
      </c>
      <c r="C357" s="55" t="s">
        <v>289</v>
      </c>
      <c r="D357" s="77"/>
      <c r="E357" s="77" t="s">
        <v>340</v>
      </c>
      <c r="F357" s="55" t="s">
        <v>22</v>
      </c>
      <c r="G357" s="119">
        <v>4.5999999999999996</v>
      </c>
      <c r="H357" s="119">
        <v>4.67</v>
      </c>
      <c r="I357" s="119">
        <v>193</v>
      </c>
      <c r="J357" s="15"/>
      <c r="K357" s="102"/>
      <c r="L357" s="15"/>
      <c r="M357" s="15"/>
      <c r="N357" s="15"/>
      <c r="O357" s="4"/>
      <c r="P357" s="4"/>
      <c r="Q357" s="4"/>
      <c r="R357" s="4"/>
      <c r="S357" s="4"/>
      <c r="T357" s="4"/>
      <c r="V357" s="4"/>
      <c r="W357" s="4"/>
      <c r="X357" s="4"/>
      <c r="Y357" s="4"/>
      <c r="Z357" s="4"/>
      <c r="AA357" s="4"/>
    </row>
    <row r="358" spans="1:27">
      <c r="A358" s="112">
        <v>45906</v>
      </c>
      <c r="B358" s="24" t="s">
        <v>47</v>
      </c>
      <c r="C358" s="61" t="s">
        <v>348</v>
      </c>
      <c r="D358" s="81"/>
      <c r="E358" s="81" t="s">
        <v>342</v>
      </c>
      <c r="F358" s="61" t="s">
        <v>22</v>
      </c>
      <c r="G358" s="115">
        <v>4.5199999999999996</v>
      </c>
      <c r="H358" s="115">
        <v>4.57</v>
      </c>
      <c r="I358" s="115">
        <v>118</v>
      </c>
      <c r="J358" s="15"/>
      <c r="K358" s="102"/>
      <c r="L358" s="15"/>
      <c r="M358" s="15"/>
      <c r="N358" s="15"/>
      <c r="O358" s="4"/>
      <c r="P358" s="4"/>
      <c r="Q358" s="4"/>
      <c r="R358" s="4"/>
      <c r="S358" s="4"/>
      <c r="T358" s="4"/>
      <c r="V358" s="4"/>
      <c r="W358" s="4"/>
      <c r="X358" s="4"/>
      <c r="Y358" s="4"/>
      <c r="Z358" s="4"/>
      <c r="AA358" s="4"/>
    </row>
    <row r="359" spans="1:27">
      <c r="A359" s="112">
        <v>45906</v>
      </c>
      <c r="B359" s="55" t="s">
        <v>349</v>
      </c>
      <c r="C359" s="55" t="s">
        <v>350</v>
      </c>
      <c r="D359" s="77"/>
      <c r="E359" s="77" t="s">
        <v>329</v>
      </c>
      <c r="F359" s="55" t="s">
        <v>22</v>
      </c>
      <c r="G359" s="119">
        <v>4.5599999999999996</v>
      </c>
      <c r="H359" s="119">
        <v>4.66</v>
      </c>
      <c r="I359" s="119">
        <v>515</v>
      </c>
      <c r="J359" s="15"/>
      <c r="K359" s="102"/>
      <c r="L359" s="15"/>
      <c r="M359" s="15"/>
      <c r="N359" s="15"/>
      <c r="O359" s="4"/>
      <c r="P359" s="4"/>
      <c r="Q359" s="4"/>
      <c r="R359" s="4"/>
      <c r="S359" s="4"/>
      <c r="T359" s="4"/>
      <c r="V359" s="4"/>
      <c r="W359" s="4"/>
      <c r="X359" s="4"/>
      <c r="Y359" s="4"/>
      <c r="Z359" s="4"/>
      <c r="AA359" s="4"/>
    </row>
    <row r="360" spans="1:27">
      <c r="A360" s="112">
        <v>45900</v>
      </c>
      <c r="B360" s="55" t="s">
        <v>68</v>
      </c>
      <c r="C360" s="55" t="s">
        <v>351</v>
      </c>
      <c r="D360" s="55"/>
      <c r="E360" s="55" t="s">
        <v>313</v>
      </c>
      <c r="F360" s="55" t="s">
        <v>187</v>
      </c>
      <c r="G360" s="119">
        <v>4.7</v>
      </c>
      <c r="H360" s="119">
        <v>4.83</v>
      </c>
      <c r="I360" s="119">
        <v>31</v>
      </c>
      <c r="J360" s="15"/>
      <c r="K360" s="102"/>
      <c r="L360" s="15"/>
      <c r="M360" s="15"/>
      <c r="N360" s="15"/>
      <c r="O360" s="4"/>
      <c r="P360" s="4"/>
      <c r="Q360" s="4"/>
      <c r="R360" s="4"/>
      <c r="S360" s="4"/>
      <c r="T360" s="4"/>
      <c r="V360" s="4"/>
      <c r="W360" s="4"/>
      <c r="X360" s="4"/>
      <c r="Y360" s="4"/>
      <c r="Z360" s="4"/>
      <c r="AA360" s="4"/>
    </row>
    <row r="361" spans="1:27">
      <c r="A361" s="112">
        <v>45900</v>
      </c>
      <c r="B361" s="39" t="s">
        <v>19</v>
      </c>
      <c r="C361" s="61" t="s">
        <v>344</v>
      </c>
      <c r="D361" s="61"/>
      <c r="E361" s="61" t="s">
        <v>322</v>
      </c>
      <c r="F361" s="61" t="s">
        <v>187</v>
      </c>
      <c r="G361" s="115">
        <v>4.42</v>
      </c>
      <c r="H361" s="115">
        <v>4.78</v>
      </c>
      <c r="I361" s="115">
        <v>19</v>
      </c>
      <c r="J361" s="15"/>
      <c r="K361" s="102"/>
      <c r="L361" s="15"/>
      <c r="M361" s="15"/>
      <c r="N361" s="15"/>
      <c r="O361" s="4"/>
      <c r="P361" s="4"/>
      <c r="Q361" s="4"/>
      <c r="R361" s="4"/>
      <c r="S361" s="4"/>
      <c r="T361" s="4"/>
      <c r="V361" s="4"/>
      <c r="W361" s="4"/>
      <c r="X361" s="4"/>
      <c r="Y361" s="4"/>
      <c r="Z361" s="4"/>
      <c r="AA361" s="4"/>
    </row>
    <row r="362" spans="1:27">
      <c r="A362" s="112">
        <v>45900</v>
      </c>
      <c r="B362" s="37" t="s">
        <v>132</v>
      </c>
      <c r="C362" s="55" t="s">
        <v>352</v>
      </c>
      <c r="D362" s="55"/>
      <c r="E362" s="55" t="s">
        <v>346</v>
      </c>
      <c r="F362" s="55" t="s">
        <v>22</v>
      </c>
      <c r="G362" s="119">
        <v>4.22</v>
      </c>
      <c r="H362" s="119">
        <v>4.37</v>
      </c>
      <c r="I362" s="119">
        <v>62</v>
      </c>
      <c r="J362" s="15"/>
      <c r="K362" s="102"/>
      <c r="L362" s="15"/>
      <c r="M362" s="15"/>
      <c r="N362" s="15"/>
      <c r="O362" s="4"/>
      <c r="P362" s="4"/>
      <c r="Q362" s="4"/>
      <c r="R362" s="4"/>
      <c r="S362" s="4"/>
      <c r="T362" s="4"/>
      <c r="V362" s="4"/>
      <c r="W362" s="4"/>
      <c r="X362" s="4"/>
      <c r="Y362" s="4"/>
      <c r="Z362" s="4"/>
      <c r="AA362" s="4"/>
    </row>
    <row r="363" spans="1:27">
      <c r="A363" s="112">
        <v>45900</v>
      </c>
      <c r="B363" s="116" t="s">
        <v>353</v>
      </c>
      <c r="C363" s="61" t="s">
        <v>354</v>
      </c>
      <c r="D363" s="61"/>
      <c r="E363" s="61" t="s">
        <v>355</v>
      </c>
      <c r="F363" s="61" t="s">
        <v>187</v>
      </c>
      <c r="G363" s="115">
        <v>4.3600000000000003</v>
      </c>
      <c r="H363" s="115">
        <v>4.46</v>
      </c>
      <c r="I363" s="115">
        <v>50</v>
      </c>
      <c r="J363" s="15"/>
      <c r="K363" s="102"/>
      <c r="L363" s="15"/>
      <c r="M363" s="15"/>
      <c r="N363" s="15"/>
      <c r="O363" s="4"/>
      <c r="P363" s="4"/>
      <c r="Q363" s="4"/>
      <c r="R363" s="4"/>
      <c r="S363" s="4"/>
      <c r="T363" s="4"/>
      <c r="V363" s="4"/>
      <c r="W363" s="4"/>
      <c r="X363" s="4"/>
      <c r="Y363" s="4"/>
      <c r="Z363" s="4"/>
      <c r="AA363" s="4"/>
    </row>
    <row r="364" spans="1:27">
      <c r="A364" s="112">
        <v>45900</v>
      </c>
      <c r="B364" s="77" t="s">
        <v>33</v>
      </c>
      <c r="C364" s="55" t="s">
        <v>230</v>
      </c>
      <c r="D364" s="55"/>
      <c r="E364" s="55" t="s">
        <v>338</v>
      </c>
      <c r="F364" s="55" t="s">
        <v>22</v>
      </c>
      <c r="G364" s="119">
        <v>4.5</v>
      </c>
      <c r="H364" s="119">
        <v>4.66</v>
      </c>
      <c r="I364" s="119">
        <v>68</v>
      </c>
      <c r="J364" s="15"/>
      <c r="K364" s="102"/>
      <c r="L364" s="15"/>
      <c r="M364" s="15"/>
      <c r="N364" s="15"/>
      <c r="O364" s="4"/>
      <c r="P364" s="4"/>
      <c r="Q364" s="4"/>
      <c r="R364" s="4"/>
      <c r="S364" s="4"/>
      <c r="T364" s="4"/>
      <c r="V364" s="4"/>
      <c r="W364" s="4"/>
      <c r="X364" s="4"/>
      <c r="Y364" s="4"/>
      <c r="Z364" s="4"/>
      <c r="AA364" s="4"/>
    </row>
    <row r="365" spans="1:27">
      <c r="A365" s="112">
        <v>45900</v>
      </c>
      <c r="B365" s="61" t="s">
        <v>81</v>
      </c>
      <c r="C365" s="61" t="s">
        <v>102</v>
      </c>
      <c r="D365" s="81"/>
      <c r="E365" s="81" t="s">
        <v>356</v>
      </c>
      <c r="F365" s="81" t="s">
        <v>22</v>
      </c>
      <c r="G365" s="99">
        <v>4.63</v>
      </c>
      <c r="H365" s="99">
        <v>4.8</v>
      </c>
      <c r="I365" s="99">
        <v>36</v>
      </c>
      <c r="J365" s="15"/>
      <c r="K365" s="102"/>
      <c r="L365" s="15"/>
      <c r="M365" s="15"/>
      <c r="N365" s="15"/>
      <c r="O365" s="4"/>
      <c r="P365" s="4"/>
      <c r="Q365" s="4"/>
      <c r="R365" s="4"/>
      <c r="S365" s="4"/>
      <c r="T365" s="4"/>
      <c r="V365" s="4"/>
      <c r="W365" s="4"/>
      <c r="X365" s="4"/>
      <c r="Y365" s="4"/>
      <c r="Z365" s="4"/>
      <c r="AA365" s="4"/>
    </row>
    <row r="366" spans="1:27">
      <c r="A366" s="112">
        <v>45900</v>
      </c>
      <c r="B366" s="77" t="s">
        <v>33</v>
      </c>
      <c r="C366" s="55" t="s">
        <v>357</v>
      </c>
      <c r="D366" s="55"/>
      <c r="E366" s="55" t="s">
        <v>339</v>
      </c>
      <c r="F366" s="55" t="s">
        <v>22</v>
      </c>
      <c r="G366" s="119">
        <v>4.76</v>
      </c>
      <c r="H366" s="119">
        <v>4.8499999999999996</v>
      </c>
      <c r="I366" s="119">
        <v>109</v>
      </c>
      <c r="J366" s="15"/>
      <c r="K366" s="102"/>
      <c r="L366" s="15"/>
      <c r="M366" s="15"/>
      <c r="N366" s="15"/>
      <c r="O366" s="4"/>
      <c r="P366" s="4"/>
      <c r="Q366" s="4"/>
      <c r="R366" s="4"/>
      <c r="S366" s="4"/>
      <c r="T366" s="4"/>
      <c r="V366" s="4"/>
      <c r="W366" s="4"/>
      <c r="X366" s="4"/>
      <c r="Y366" s="4"/>
      <c r="Z366" s="4"/>
      <c r="AA366" s="4"/>
    </row>
    <row r="367" spans="1:27">
      <c r="A367" s="112">
        <v>45900</v>
      </c>
      <c r="B367" s="61" t="s">
        <v>297</v>
      </c>
      <c r="C367" s="61" t="s">
        <v>358</v>
      </c>
      <c r="D367" s="81"/>
      <c r="E367" s="81" t="s">
        <v>340</v>
      </c>
      <c r="F367" s="81" t="s">
        <v>22</v>
      </c>
      <c r="G367" s="99">
        <v>4.74</v>
      </c>
      <c r="H367" s="99">
        <v>4.82</v>
      </c>
      <c r="I367" s="99">
        <v>291</v>
      </c>
      <c r="J367" s="15"/>
      <c r="K367" s="102"/>
      <c r="L367" s="15"/>
      <c r="M367" s="15"/>
      <c r="N367" s="15"/>
      <c r="O367" s="4"/>
      <c r="P367" s="4"/>
      <c r="Q367" s="4"/>
      <c r="R367" s="4"/>
      <c r="S367" s="4"/>
      <c r="T367" s="4"/>
      <c r="V367" s="4"/>
      <c r="W367" s="4"/>
      <c r="X367" s="4"/>
      <c r="Y367" s="4"/>
      <c r="Z367" s="4"/>
      <c r="AA367" s="4"/>
    </row>
    <row r="368" spans="1:27">
      <c r="A368" s="112">
        <v>45900</v>
      </c>
      <c r="B368" s="62" t="s">
        <v>77</v>
      </c>
      <c r="C368" s="55" t="s">
        <v>359</v>
      </c>
      <c r="D368" s="77"/>
      <c r="E368" s="77" t="s">
        <v>342</v>
      </c>
      <c r="F368" s="77" t="s">
        <v>187</v>
      </c>
      <c r="G368" s="123">
        <v>4.7</v>
      </c>
      <c r="H368" s="123">
        <v>4.79</v>
      </c>
      <c r="I368" s="97">
        <v>217</v>
      </c>
      <c r="J368" s="15"/>
      <c r="K368" s="102"/>
      <c r="L368" s="15"/>
      <c r="M368" s="15"/>
      <c r="N368" s="15"/>
      <c r="O368" s="4"/>
      <c r="P368" s="4"/>
      <c r="Q368" s="4"/>
      <c r="R368" s="4"/>
      <c r="S368" s="4"/>
      <c r="T368" s="4"/>
      <c r="V368" s="4"/>
      <c r="W368" s="4"/>
      <c r="X368" s="4"/>
      <c r="Y368" s="4"/>
      <c r="Z368" s="4"/>
      <c r="AA368" s="4"/>
    </row>
    <row r="369" spans="1:27">
      <c r="A369" s="112">
        <v>45899</v>
      </c>
      <c r="B369" s="55" t="s">
        <v>68</v>
      </c>
      <c r="C369" s="55" t="s">
        <v>360</v>
      </c>
      <c r="D369" s="55"/>
      <c r="E369" s="55" t="s">
        <v>313</v>
      </c>
      <c r="F369" s="55" t="s">
        <v>187</v>
      </c>
      <c r="G369" s="119">
        <v>4.82</v>
      </c>
      <c r="H369" s="119">
        <v>4.8499999999999996</v>
      </c>
      <c r="I369" s="119">
        <v>41</v>
      </c>
      <c r="J369" s="15"/>
      <c r="K369" s="102"/>
      <c r="L369" s="15"/>
      <c r="M369" s="15"/>
      <c r="N369" s="15"/>
      <c r="O369" s="4"/>
      <c r="P369" s="4"/>
      <c r="Q369" s="4"/>
      <c r="R369" s="4"/>
      <c r="S369" s="4"/>
      <c r="T369" s="4"/>
      <c r="V369" s="4"/>
      <c r="W369" s="4"/>
      <c r="X369" s="4"/>
      <c r="Y369" s="4"/>
      <c r="Z369" s="4"/>
      <c r="AA369" s="4"/>
    </row>
    <row r="370" spans="1:27">
      <c r="A370" s="112">
        <v>45899</v>
      </c>
      <c r="B370" s="39" t="s">
        <v>19</v>
      </c>
      <c r="C370" s="61" t="s">
        <v>361</v>
      </c>
      <c r="D370" s="61"/>
      <c r="E370" s="61" t="s">
        <v>322</v>
      </c>
      <c r="F370" s="61" t="s">
        <v>187</v>
      </c>
      <c r="G370" s="115">
        <v>4.63</v>
      </c>
      <c r="H370" s="115">
        <v>4.78</v>
      </c>
      <c r="I370" s="115">
        <v>80</v>
      </c>
      <c r="J370" s="15"/>
      <c r="K370" s="102"/>
      <c r="L370" s="15"/>
      <c r="M370" s="15"/>
      <c r="N370" s="15"/>
      <c r="O370" s="4"/>
      <c r="P370" s="4"/>
      <c r="Q370" s="4"/>
      <c r="R370" s="4"/>
      <c r="S370" s="4"/>
      <c r="T370" s="4"/>
      <c r="V370" s="4"/>
      <c r="W370" s="4"/>
      <c r="X370" s="4"/>
      <c r="Y370" s="4"/>
      <c r="Z370" s="4"/>
      <c r="AA370" s="4"/>
    </row>
    <row r="371" spans="1:27">
      <c r="A371" s="112">
        <v>45899</v>
      </c>
      <c r="B371" s="77" t="s">
        <v>33</v>
      </c>
      <c r="C371" s="55" t="s">
        <v>362</v>
      </c>
      <c r="D371" s="55"/>
      <c r="E371" s="55" t="s">
        <v>346</v>
      </c>
      <c r="F371" s="55" t="s">
        <v>187</v>
      </c>
      <c r="G371" s="119">
        <v>4.76</v>
      </c>
      <c r="H371" s="119">
        <v>4.8</v>
      </c>
      <c r="I371" s="119">
        <v>55</v>
      </c>
      <c r="J371" s="15"/>
      <c r="K371" s="102"/>
      <c r="L371" s="15"/>
      <c r="M371" s="15"/>
      <c r="N371" s="15"/>
      <c r="O371" s="4"/>
      <c r="P371" s="4"/>
      <c r="Q371" s="4"/>
      <c r="R371" s="4"/>
      <c r="S371" s="4"/>
      <c r="T371" s="4"/>
      <c r="V371" s="4"/>
      <c r="W371" s="4"/>
      <c r="X371" s="4"/>
      <c r="Y371" s="4"/>
      <c r="Z371" s="4"/>
      <c r="AA371" s="4"/>
    </row>
    <row r="372" spans="1:27">
      <c r="A372" s="112">
        <v>45899</v>
      </c>
      <c r="B372" s="116" t="s">
        <v>353</v>
      </c>
      <c r="C372" s="61" t="s">
        <v>262</v>
      </c>
      <c r="D372" s="61"/>
      <c r="E372" s="61" t="s">
        <v>355</v>
      </c>
      <c r="F372" s="61" t="s">
        <v>187</v>
      </c>
      <c r="G372" s="115">
        <v>4.29</v>
      </c>
      <c r="H372" s="115">
        <v>4.3600000000000003</v>
      </c>
      <c r="I372" s="115">
        <v>58</v>
      </c>
      <c r="J372" s="15"/>
      <c r="K372" s="102"/>
      <c r="L372" s="15"/>
      <c r="M372" s="15"/>
      <c r="N372" s="15"/>
      <c r="O372" s="4"/>
      <c r="P372" s="4"/>
      <c r="Q372" s="4"/>
      <c r="R372" s="4"/>
      <c r="S372" s="4"/>
      <c r="T372" s="4"/>
      <c r="V372" s="4"/>
      <c r="W372" s="4"/>
      <c r="X372" s="4"/>
      <c r="Y372" s="4"/>
      <c r="Z372" s="4"/>
      <c r="AA372" s="4"/>
    </row>
    <row r="373" spans="1:27">
      <c r="A373" s="112">
        <v>45899</v>
      </c>
      <c r="B373" s="77" t="s">
        <v>33</v>
      </c>
      <c r="C373" s="55" t="s">
        <v>239</v>
      </c>
      <c r="D373" s="55"/>
      <c r="E373" s="55" t="s">
        <v>338</v>
      </c>
      <c r="F373" s="55" t="s">
        <v>22</v>
      </c>
      <c r="G373" s="119">
        <v>4.47</v>
      </c>
      <c r="H373" s="119">
        <v>4.66</v>
      </c>
      <c r="I373" s="119">
        <v>112</v>
      </c>
      <c r="J373" s="15"/>
      <c r="K373" s="102"/>
      <c r="L373" s="15"/>
      <c r="M373" s="15"/>
      <c r="N373" s="15"/>
      <c r="O373" s="4"/>
      <c r="P373" s="4"/>
      <c r="Q373" s="4"/>
      <c r="R373" s="4"/>
      <c r="S373" s="4"/>
      <c r="T373" s="4"/>
      <c r="V373" s="4"/>
      <c r="W373" s="4"/>
      <c r="X373" s="4"/>
      <c r="Y373" s="4"/>
      <c r="Z373" s="4"/>
      <c r="AA373" s="4"/>
    </row>
    <row r="374" spans="1:27">
      <c r="A374" s="112">
        <v>45899</v>
      </c>
      <c r="B374" s="61" t="s">
        <v>81</v>
      </c>
      <c r="C374" s="61" t="s">
        <v>114</v>
      </c>
      <c r="D374" s="81"/>
      <c r="E374" s="81" t="s">
        <v>356</v>
      </c>
      <c r="F374" s="81" t="s">
        <v>22</v>
      </c>
      <c r="G374" s="99">
        <v>4.78</v>
      </c>
      <c r="H374" s="99">
        <v>4.95</v>
      </c>
      <c r="I374" s="99">
        <v>65</v>
      </c>
      <c r="J374" s="15"/>
      <c r="K374" s="102"/>
      <c r="L374" s="15"/>
      <c r="M374" s="15"/>
      <c r="N374" s="15"/>
      <c r="O374" s="4"/>
      <c r="P374" s="4"/>
      <c r="Q374" s="4"/>
      <c r="R374" s="4"/>
      <c r="S374" s="4"/>
      <c r="T374" s="4"/>
      <c r="V374" s="4"/>
      <c r="W374" s="4"/>
      <c r="X374" s="4"/>
      <c r="Y374" s="4"/>
      <c r="Z374" s="4"/>
      <c r="AA374" s="4"/>
    </row>
    <row r="375" spans="1:27">
      <c r="A375" s="112">
        <v>45899</v>
      </c>
      <c r="B375" s="77" t="s">
        <v>33</v>
      </c>
      <c r="C375" s="55" t="s">
        <v>363</v>
      </c>
      <c r="D375" s="55"/>
      <c r="E375" s="55" t="s">
        <v>339</v>
      </c>
      <c r="F375" s="55" t="s">
        <v>22</v>
      </c>
      <c r="G375" s="119">
        <v>4.6500000000000004</v>
      </c>
      <c r="H375" s="119">
        <v>4.6900000000000004</v>
      </c>
      <c r="I375" s="119">
        <v>126</v>
      </c>
      <c r="J375" s="15"/>
      <c r="K375" s="102"/>
      <c r="L375" s="15"/>
      <c r="M375" s="15"/>
      <c r="N375" s="15"/>
      <c r="O375" s="4"/>
      <c r="P375" s="4"/>
      <c r="Q375" s="4"/>
      <c r="R375" s="4"/>
      <c r="S375" s="4"/>
      <c r="T375" s="4"/>
      <c r="V375" s="4"/>
      <c r="W375" s="4"/>
      <c r="X375" s="4"/>
      <c r="Y375" s="4"/>
      <c r="Z375" s="4"/>
      <c r="AA375" s="4"/>
    </row>
    <row r="376" spans="1:27">
      <c r="A376" s="112">
        <v>45899</v>
      </c>
      <c r="B376" s="24" t="s">
        <v>47</v>
      </c>
      <c r="C376" s="61" t="s">
        <v>364</v>
      </c>
      <c r="D376" s="81"/>
      <c r="E376" s="81" t="s">
        <v>340</v>
      </c>
      <c r="F376" s="81" t="s">
        <v>187</v>
      </c>
      <c r="G376" s="99">
        <v>4.66</v>
      </c>
      <c r="H376" s="99">
        <v>4.7300000000000004</v>
      </c>
      <c r="I376" s="99">
        <v>134</v>
      </c>
      <c r="J376" s="15"/>
      <c r="K376" s="102"/>
      <c r="L376" s="15"/>
      <c r="M376" s="15"/>
      <c r="N376" s="15"/>
      <c r="O376" s="4"/>
      <c r="P376" s="4"/>
      <c r="Q376" s="4"/>
      <c r="R376" s="4"/>
      <c r="S376" s="4"/>
      <c r="T376" s="4"/>
      <c r="V376" s="4"/>
      <c r="W376" s="4"/>
      <c r="X376" s="4"/>
      <c r="Y376" s="4"/>
      <c r="Z376" s="4"/>
      <c r="AA376" s="4"/>
    </row>
    <row r="377" spans="1:27">
      <c r="A377" s="112">
        <v>45899</v>
      </c>
      <c r="B377" s="55" t="s">
        <v>333</v>
      </c>
      <c r="C377" s="55" t="s">
        <v>334</v>
      </c>
      <c r="D377" s="77"/>
      <c r="E377" s="77" t="s">
        <v>342</v>
      </c>
      <c r="F377" s="77" t="s">
        <v>22</v>
      </c>
      <c r="G377" s="97">
        <v>4.68</v>
      </c>
      <c r="H377" s="97">
        <v>4.7699999999999996</v>
      </c>
      <c r="I377" s="97">
        <v>470</v>
      </c>
      <c r="J377" s="15"/>
      <c r="K377" s="102"/>
      <c r="L377" s="15"/>
      <c r="M377" s="15"/>
      <c r="N377" s="15"/>
      <c r="O377" s="4"/>
      <c r="P377" s="4"/>
      <c r="Q377" s="4"/>
      <c r="R377" s="4"/>
      <c r="S377" s="4"/>
      <c r="T377" s="4"/>
      <c r="V377" s="4"/>
      <c r="W377" s="4"/>
      <c r="X377" s="4"/>
      <c r="Y377" s="4"/>
      <c r="Z377" s="4"/>
      <c r="AA377" s="4"/>
    </row>
    <row r="378" spans="1:27">
      <c r="A378" s="112">
        <v>45893</v>
      </c>
      <c r="B378" s="61" t="s">
        <v>68</v>
      </c>
      <c r="C378" s="61" t="s">
        <v>365</v>
      </c>
      <c r="D378" s="55"/>
      <c r="E378" s="55" t="s">
        <v>313</v>
      </c>
      <c r="F378" s="61" t="s">
        <v>187</v>
      </c>
      <c r="G378" s="115">
        <v>4.93</v>
      </c>
      <c r="H378" s="115">
        <v>4.93</v>
      </c>
      <c r="I378" s="115">
        <v>44</v>
      </c>
      <c r="J378" s="15"/>
      <c r="K378" s="102"/>
      <c r="L378" s="15"/>
      <c r="M378" s="15"/>
      <c r="N378" s="15"/>
      <c r="O378" s="4"/>
      <c r="P378" s="4"/>
      <c r="Q378" s="4"/>
      <c r="R378" s="4"/>
      <c r="S378" s="4"/>
      <c r="T378" s="4"/>
      <c r="V378" s="4"/>
      <c r="W378" s="4"/>
      <c r="X378" s="4"/>
      <c r="Y378" s="4"/>
      <c r="Z378" s="4"/>
      <c r="AA378" s="4"/>
    </row>
    <row r="379" spans="1:27">
      <c r="A379" s="112">
        <v>45893</v>
      </c>
      <c r="B379" s="77" t="s">
        <v>33</v>
      </c>
      <c r="C379" s="55" t="s">
        <v>347</v>
      </c>
      <c r="D379" s="77"/>
      <c r="E379" s="77" t="s">
        <v>356</v>
      </c>
      <c r="F379" s="77" t="s">
        <v>22</v>
      </c>
      <c r="G379" s="97">
        <v>4.82</v>
      </c>
      <c r="H379" s="97">
        <v>4.8600000000000003</v>
      </c>
      <c r="I379" s="97">
        <v>84</v>
      </c>
      <c r="J379" s="15"/>
      <c r="K379" s="102"/>
      <c r="L379" s="15"/>
      <c r="M379" s="15"/>
      <c r="N379" s="15"/>
      <c r="O379" s="4"/>
      <c r="P379" s="4"/>
      <c r="Q379" s="4"/>
      <c r="R379" s="4"/>
      <c r="S379" s="4"/>
      <c r="T379" s="4"/>
      <c r="V379" s="4"/>
      <c r="W379" s="4"/>
      <c r="X379" s="4"/>
      <c r="Y379" s="4"/>
      <c r="Z379" s="4"/>
      <c r="AA379" s="4"/>
    </row>
    <row r="380" spans="1:27">
      <c r="A380" s="112">
        <v>45893</v>
      </c>
      <c r="B380" s="61" t="s">
        <v>81</v>
      </c>
      <c r="C380" s="61" t="s">
        <v>282</v>
      </c>
      <c r="D380" s="55"/>
      <c r="E380" s="55" t="s">
        <v>339</v>
      </c>
      <c r="F380" s="61" t="s">
        <v>187</v>
      </c>
      <c r="G380" s="115">
        <v>4.79</v>
      </c>
      <c r="H380" s="115">
        <v>4.8499999999999996</v>
      </c>
      <c r="I380" s="115">
        <v>155</v>
      </c>
      <c r="J380" s="15"/>
      <c r="K380" s="102"/>
      <c r="L380" s="15"/>
      <c r="M380" s="15"/>
      <c r="N380" s="15"/>
      <c r="O380" s="4"/>
      <c r="P380" s="4"/>
      <c r="Q380" s="4"/>
      <c r="R380" s="4"/>
      <c r="S380" s="4"/>
      <c r="T380" s="4"/>
      <c r="V380" s="4"/>
      <c r="W380" s="4"/>
      <c r="X380" s="4"/>
      <c r="Y380" s="4"/>
      <c r="Z380" s="4"/>
      <c r="AA380" s="4"/>
    </row>
    <row r="381" spans="1:27">
      <c r="A381" s="112">
        <v>45893</v>
      </c>
      <c r="B381" s="34" t="s">
        <v>19</v>
      </c>
      <c r="C381" s="55" t="s">
        <v>366</v>
      </c>
      <c r="D381" s="55"/>
      <c r="E381" s="55" t="s">
        <v>322</v>
      </c>
      <c r="F381" s="55" t="s">
        <v>187</v>
      </c>
      <c r="G381" s="119">
        <v>4.66</v>
      </c>
      <c r="H381" s="119">
        <v>4.74</v>
      </c>
      <c r="I381" s="119">
        <v>112</v>
      </c>
      <c r="J381" s="15"/>
      <c r="K381" s="102"/>
      <c r="L381" s="15"/>
      <c r="M381" s="15"/>
      <c r="N381" s="15"/>
      <c r="O381" s="4"/>
      <c r="P381" s="4"/>
      <c r="Q381" s="4"/>
      <c r="R381" s="4"/>
      <c r="S381" s="4"/>
      <c r="T381" s="4"/>
      <c r="V381" s="4"/>
      <c r="W381" s="4"/>
      <c r="X381" s="4"/>
      <c r="Y381" s="4"/>
      <c r="Z381" s="4"/>
      <c r="AA381" s="4"/>
    </row>
    <row r="382" spans="1:27">
      <c r="A382" s="112">
        <v>45893</v>
      </c>
      <c r="B382" s="61" t="s">
        <v>333</v>
      </c>
      <c r="C382" s="61" t="s">
        <v>343</v>
      </c>
      <c r="D382" s="81"/>
      <c r="E382" s="81" t="s">
        <v>342</v>
      </c>
      <c r="F382" s="81" t="s">
        <v>22</v>
      </c>
      <c r="G382" s="99">
        <v>4.66</v>
      </c>
      <c r="H382" s="99">
        <v>4.71</v>
      </c>
      <c r="I382" s="99">
        <v>487</v>
      </c>
      <c r="J382" s="15"/>
      <c r="K382" s="102"/>
      <c r="L382" s="15"/>
      <c r="M382" s="15"/>
      <c r="N382" s="15"/>
      <c r="O382" s="4"/>
      <c r="P382" s="4"/>
      <c r="Q382" s="4"/>
      <c r="R382" s="4"/>
      <c r="S382" s="4"/>
      <c r="T382" s="4"/>
      <c r="V382" s="4"/>
      <c r="W382" s="4"/>
      <c r="X382" s="4"/>
      <c r="Y382" s="4"/>
      <c r="Z382" s="4"/>
      <c r="AA382" s="4"/>
    </row>
    <row r="383" spans="1:27">
      <c r="A383" s="112">
        <v>45893</v>
      </c>
      <c r="B383" s="77" t="s">
        <v>33</v>
      </c>
      <c r="C383" s="55" t="s">
        <v>253</v>
      </c>
      <c r="D383" s="55"/>
      <c r="E383" s="55" t="s">
        <v>338</v>
      </c>
      <c r="F383" s="55" t="s">
        <v>22</v>
      </c>
      <c r="G383" s="119">
        <v>4.6399999999999997</v>
      </c>
      <c r="H383" s="119">
        <v>4.7300000000000004</v>
      </c>
      <c r="I383" s="119">
        <v>121</v>
      </c>
      <c r="J383" s="15"/>
      <c r="K383" s="102"/>
      <c r="L383" s="15"/>
      <c r="M383" s="15"/>
      <c r="N383" s="15"/>
      <c r="O383" s="4"/>
      <c r="P383" s="4"/>
      <c r="Q383" s="4"/>
      <c r="R383" s="4"/>
      <c r="S383" s="4"/>
      <c r="T383" s="4"/>
      <c r="V383" s="4"/>
      <c r="W383" s="4"/>
      <c r="X383" s="4"/>
      <c r="Y383" s="4"/>
      <c r="Z383" s="4"/>
      <c r="AA383" s="4"/>
    </row>
    <row r="384" spans="1:27">
      <c r="A384" s="112">
        <v>45893</v>
      </c>
      <c r="B384" s="81" t="s">
        <v>33</v>
      </c>
      <c r="C384" s="61" t="s">
        <v>179</v>
      </c>
      <c r="D384" s="55"/>
      <c r="E384" s="55" t="s">
        <v>346</v>
      </c>
      <c r="F384" s="61" t="s">
        <v>187</v>
      </c>
      <c r="G384" s="115">
        <v>4.5199999999999996</v>
      </c>
      <c r="H384" s="115">
        <v>4.8</v>
      </c>
      <c r="I384" s="115">
        <v>55</v>
      </c>
      <c r="J384" s="15"/>
      <c r="K384" s="102"/>
      <c r="L384" s="15"/>
      <c r="M384" s="15"/>
      <c r="N384" s="15"/>
      <c r="O384" s="4"/>
      <c r="P384" s="4"/>
      <c r="Q384" s="4"/>
      <c r="R384" s="4"/>
      <c r="S384" s="4"/>
      <c r="T384" s="4"/>
      <c r="V384" s="4"/>
      <c r="W384" s="4"/>
      <c r="X384" s="4"/>
      <c r="Y384" s="4"/>
      <c r="Z384" s="4"/>
      <c r="AA384" s="4"/>
    </row>
    <row r="385" spans="1:27">
      <c r="A385" s="112">
        <v>45893</v>
      </c>
      <c r="B385" s="62" t="s">
        <v>77</v>
      </c>
      <c r="C385" s="55" t="s">
        <v>341</v>
      </c>
      <c r="D385" s="77"/>
      <c r="E385" s="77" t="s">
        <v>340</v>
      </c>
      <c r="F385" s="77" t="s">
        <v>22</v>
      </c>
      <c r="G385" s="97">
        <v>4.37</v>
      </c>
      <c r="H385" s="97">
        <v>4.5199999999999996</v>
      </c>
      <c r="I385" s="97">
        <v>141</v>
      </c>
      <c r="J385" s="15"/>
      <c r="K385" s="102"/>
      <c r="L385" s="15"/>
      <c r="M385" s="15"/>
      <c r="N385" s="15"/>
      <c r="O385" s="4"/>
      <c r="P385" s="4"/>
      <c r="Q385" s="4"/>
      <c r="R385" s="4"/>
      <c r="S385" s="4"/>
      <c r="T385" s="4"/>
      <c r="V385" s="4"/>
      <c r="W385" s="4"/>
      <c r="X385" s="4"/>
      <c r="Y385" s="4"/>
      <c r="Z385" s="4"/>
      <c r="AA385" s="4"/>
    </row>
    <row r="386" spans="1:27">
      <c r="A386" s="112">
        <v>45893</v>
      </c>
      <c r="B386" s="116" t="s">
        <v>353</v>
      </c>
      <c r="C386" s="61" t="s">
        <v>267</v>
      </c>
      <c r="D386" s="55"/>
      <c r="E386" s="55" t="s">
        <v>355</v>
      </c>
      <c r="F386" s="61" t="s">
        <v>187</v>
      </c>
      <c r="G386" s="115">
        <v>4.3</v>
      </c>
      <c r="H386" s="115">
        <v>4.42</v>
      </c>
      <c r="I386" s="115">
        <v>56</v>
      </c>
      <c r="J386" s="15"/>
      <c r="K386" s="102"/>
      <c r="L386" s="15"/>
      <c r="M386" s="15"/>
      <c r="N386" s="15"/>
      <c r="O386" s="4"/>
      <c r="P386" s="4"/>
      <c r="Q386" s="4"/>
      <c r="R386" s="4"/>
      <c r="S386" s="4"/>
      <c r="T386" s="4"/>
      <c r="V386" s="4"/>
      <c r="W386" s="4"/>
      <c r="X386" s="4"/>
      <c r="Y386" s="4"/>
      <c r="Z386" s="4"/>
      <c r="AA386" s="4"/>
    </row>
    <row r="387" spans="1:27">
      <c r="A387" s="112">
        <v>45892</v>
      </c>
      <c r="B387" s="81" t="s">
        <v>33</v>
      </c>
      <c r="C387" s="61" t="s">
        <v>211</v>
      </c>
      <c r="D387" s="61"/>
      <c r="E387" s="61" t="s">
        <v>355</v>
      </c>
      <c r="F387" s="61" t="s">
        <v>22</v>
      </c>
      <c r="G387" s="124">
        <v>4.7699999999999996</v>
      </c>
      <c r="H387" s="124">
        <v>4.7699999999999996</v>
      </c>
      <c r="I387" s="124">
        <v>40</v>
      </c>
      <c r="J387" s="15"/>
      <c r="K387" s="102"/>
      <c r="L387" s="15"/>
      <c r="M387" s="15"/>
      <c r="N387" s="15"/>
      <c r="O387" s="4"/>
      <c r="P387" s="4"/>
      <c r="Q387" s="4"/>
      <c r="R387" s="4"/>
      <c r="S387" s="4"/>
      <c r="T387" s="4"/>
      <c r="V387" s="4"/>
      <c r="W387" s="4"/>
      <c r="X387" s="4"/>
      <c r="Y387" s="4"/>
      <c r="Z387" s="4"/>
      <c r="AA387" s="4"/>
    </row>
    <row r="388" spans="1:27">
      <c r="A388" s="112">
        <v>45892</v>
      </c>
      <c r="B388" s="55" t="s">
        <v>81</v>
      </c>
      <c r="C388" s="55" t="s">
        <v>289</v>
      </c>
      <c r="D388" s="55"/>
      <c r="E388" s="55" t="s">
        <v>339</v>
      </c>
      <c r="F388" s="55" t="s">
        <v>187</v>
      </c>
      <c r="G388" s="125">
        <v>4.7699999999999996</v>
      </c>
      <c r="H388" s="125">
        <v>4.82</v>
      </c>
      <c r="I388" s="125">
        <v>179</v>
      </c>
      <c r="J388" s="15"/>
      <c r="K388" s="102"/>
      <c r="L388" s="15"/>
      <c r="M388" s="15"/>
      <c r="N388" s="15"/>
      <c r="O388" s="4"/>
      <c r="P388" s="4"/>
      <c r="Q388" s="4"/>
      <c r="R388" s="4"/>
      <c r="S388" s="4"/>
      <c r="T388" s="4"/>
      <c r="V388" s="4"/>
      <c r="W388" s="4"/>
      <c r="X388" s="4"/>
      <c r="Y388" s="4"/>
      <c r="Z388" s="4"/>
      <c r="AA388" s="4"/>
    </row>
    <row r="389" spans="1:27">
      <c r="A389" s="112">
        <v>45892</v>
      </c>
      <c r="B389" s="39" t="s">
        <v>19</v>
      </c>
      <c r="C389" s="61" t="s">
        <v>367</v>
      </c>
      <c r="D389" s="61"/>
      <c r="E389" s="61" t="s">
        <v>322</v>
      </c>
      <c r="F389" s="61" t="s">
        <v>187</v>
      </c>
      <c r="G389" s="124">
        <v>4.7</v>
      </c>
      <c r="H389" s="124">
        <v>4.82</v>
      </c>
      <c r="I389" s="124">
        <v>67</v>
      </c>
      <c r="J389" s="15"/>
      <c r="K389" s="102"/>
      <c r="L389" s="15"/>
      <c r="M389" s="15"/>
      <c r="N389" s="15"/>
      <c r="O389" s="4"/>
      <c r="P389" s="4"/>
      <c r="Q389" s="4"/>
      <c r="R389" s="4"/>
      <c r="S389" s="4"/>
      <c r="T389" s="4"/>
      <c r="V389" s="4"/>
      <c r="W389" s="4"/>
      <c r="X389" s="4"/>
      <c r="Y389" s="4"/>
      <c r="Z389" s="4"/>
      <c r="AA389" s="4"/>
    </row>
    <row r="390" spans="1:27">
      <c r="A390" s="112">
        <v>45892</v>
      </c>
      <c r="B390" s="23" t="s">
        <v>47</v>
      </c>
      <c r="C390" s="55" t="s">
        <v>348</v>
      </c>
      <c r="D390" s="77"/>
      <c r="E390" s="77" t="s">
        <v>340</v>
      </c>
      <c r="F390" s="77" t="s">
        <v>187</v>
      </c>
      <c r="G390" s="125">
        <v>4.59</v>
      </c>
      <c r="H390" s="125">
        <v>4.5999999999999996</v>
      </c>
      <c r="I390" s="125">
        <v>118</v>
      </c>
      <c r="J390" s="15"/>
      <c r="K390" s="102"/>
      <c r="L390" s="15"/>
      <c r="M390" s="15"/>
      <c r="N390" s="15"/>
      <c r="O390" s="4"/>
      <c r="P390" s="4"/>
      <c r="Q390" s="4"/>
      <c r="R390" s="4"/>
      <c r="S390" s="4"/>
      <c r="T390" s="4"/>
      <c r="V390" s="4"/>
      <c r="W390" s="4"/>
      <c r="X390" s="4"/>
      <c r="Y390" s="4"/>
      <c r="Z390" s="4"/>
      <c r="AA390" s="4"/>
    </row>
    <row r="391" spans="1:27">
      <c r="A391" s="112">
        <v>45892</v>
      </c>
      <c r="B391" s="81" t="s">
        <v>33</v>
      </c>
      <c r="C391" s="61" t="s">
        <v>357</v>
      </c>
      <c r="D391" s="81"/>
      <c r="E391" s="81" t="s">
        <v>356</v>
      </c>
      <c r="F391" s="61" t="s">
        <v>22</v>
      </c>
      <c r="G391" s="124">
        <v>4.57</v>
      </c>
      <c r="H391" s="124">
        <v>4.7300000000000004</v>
      </c>
      <c r="I391" s="124">
        <v>104</v>
      </c>
      <c r="J391" s="15"/>
      <c r="K391" s="102"/>
      <c r="L391" s="15"/>
      <c r="M391" s="15"/>
      <c r="N391" s="15"/>
      <c r="O391" s="4"/>
      <c r="P391" s="4"/>
      <c r="Q391" s="4"/>
      <c r="R391" s="4"/>
      <c r="S391" s="4"/>
      <c r="T391" s="4"/>
      <c r="V391" s="4"/>
      <c r="W391" s="4"/>
      <c r="X391" s="4"/>
      <c r="Y391" s="4"/>
      <c r="Z391" s="4"/>
      <c r="AA391" s="4"/>
    </row>
    <row r="392" spans="1:27">
      <c r="A392" s="112">
        <v>45892</v>
      </c>
      <c r="B392" s="55" t="s">
        <v>349</v>
      </c>
      <c r="C392" s="55" t="s">
        <v>368</v>
      </c>
      <c r="D392" s="77"/>
      <c r="E392" s="77" t="s">
        <v>342</v>
      </c>
      <c r="F392" s="55" t="s">
        <v>22</v>
      </c>
      <c r="G392" s="125">
        <v>4.51</v>
      </c>
      <c r="H392" s="125">
        <v>4.63</v>
      </c>
      <c r="I392" s="125">
        <v>407</v>
      </c>
      <c r="J392" s="15"/>
      <c r="K392" s="102"/>
      <c r="L392" s="15"/>
      <c r="M392" s="15"/>
      <c r="N392" s="15"/>
      <c r="O392" s="4"/>
      <c r="P392" s="4"/>
      <c r="Q392" s="4"/>
      <c r="R392" s="4"/>
      <c r="S392" s="4"/>
      <c r="T392" s="4"/>
      <c r="V392" s="4"/>
      <c r="W392" s="4"/>
      <c r="X392" s="4"/>
      <c r="Y392" s="4"/>
      <c r="Z392" s="4"/>
      <c r="AA392" s="4"/>
    </row>
    <row r="393" spans="1:27">
      <c r="A393" s="112">
        <v>45892</v>
      </c>
      <c r="B393" s="81" t="s">
        <v>33</v>
      </c>
      <c r="C393" s="61" t="s">
        <v>188</v>
      </c>
      <c r="D393" s="61"/>
      <c r="E393" s="61" t="s">
        <v>346</v>
      </c>
      <c r="F393" s="61" t="s">
        <v>187</v>
      </c>
      <c r="G393" s="124">
        <v>4.5</v>
      </c>
      <c r="H393" s="124">
        <v>4.6399999999999997</v>
      </c>
      <c r="I393" s="124">
        <v>62</v>
      </c>
      <c r="J393" s="15"/>
      <c r="K393" s="102"/>
      <c r="L393" s="15"/>
      <c r="M393" s="15"/>
      <c r="N393" s="15"/>
      <c r="O393" s="4"/>
      <c r="P393" s="4"/>
      <c r="Q393" s="4"/>
      <c r="R393" s="4"/>
      <c r="S393" s="4"/>
      <c r="T393" s="4"/>
      <c r="V393" s="4"/>
      <c r="W393" s="4"/>
      <c r="X393" s="4"/>
      <c r="Y393" s="4"/>
      <c r="Z393" s="4"/>
      <c r="AA393" s="4"/>
    </row>
    <row r="394" spans="1:27">
      <c r="A394" s="112">
        <v>45892</v>
      </c>
      <c r="B394" s="55" t="s">
        <v>81</v>
      </c>
      <c r="C394" s="55" t="s">
        <v>102</v>
      </c>
      <c r="D394" s="55"/>
      <c r="E394" s="55" t="s">
        <v>338</v>
      </c>
      <c r="F394" s="55" t="s">
        <v>22</v>
      </c>
      <c r="G394" s="125">
        <v>4.42</v>
      </c>
      <c r="H394" s="125">
        <v>4.4800000000000004</v>
      </c>
      <c r="I394" s="125">
        <v>35</v>
      </c>
      <c r="J394" s="15"/>
      <c r="K394" s="102"/>
      <c r="L394" s="15"/>
      <c r="M394" s="15"/>
      <c r="N394" s="15"/>
      <c r="O394" s="4"/>
      <c r="P394" s="4"/>
      <c r="Q394" s="4"/>
      <c r="R394" s="4"/>
      <c r="S394" s="4"/>
      <c r="T394" s="4"/>
      <c r="V394" s="4"/>
      <c r="W394" s="4"/>
      <c r="X394" s="4"/>
      <c r="Y394" s="4"/>
      <c r="Z394" s="4"/>
      <c r="AA394" s="4"/>
    </row>
    <row r="395" spans="1:27">
      <c r="A395" s="112">
        <v>45886</v>
      </c>
      <c r="B395" s="61" t="s">
        <v>68</v>
      </c>
      <c r="C395" s="61" t="s">
        <v>369</v>
      </c>
      <c r="D395" s="61"/>
      <c r="E395" s="61" t="s">
        <v>313</v>
      </c>
      <c r="F395" s="61" t="s">
        <v>187</v>
      </c>
      <c r="G395" s="61">
        <v>4.84</v>
      </c>
      <c r="H395" s="61">
        <v>4.8899999999999997</v>
      </c>
      <c r="I395" s="61">
        <v>19</v>
      </c>
      <c r="J395" s="15"/>
      <c r="K395" s="102"/>
      <c r="L395" s="15"/>
      <c r="M395" s="15"/>
      <c r="N395" s="15"/>
      <c r="O395" s="4"/>
      <c r="P395" s="4"/>
      <c r="Q395" s="4"/>
      <c r="R395" s="4"/>
      <c r="S395" s="4"/>
      <c r="T395" s="4"/>
      <c r="V395" s="4"/>
      <c r="W395" s="4"/>
      <c r="X395" s="4"/>
      <c r="Y395" s="4"/>
      <c r="Z395" s="4"/>
      <c r="AA395" s="4"/>
    </row>
    <row r="396" spans="1:27">
      <c r="A396" s="112">
        <v>45886</v>
      </c>
      <c r="B396" s="55" t="s">
        <v>297</v>
      </c>
      <c r="C396" s="55" t="s">
        <v>358</v>
      </c>
      <c r="D396" s="55"/>
      <c r="E396" s="55" t="s">
        <v>339</v>
      </c>
      <c r="F396" s="55" t="s">
        <v>22</v>
      </c>
      <c r="G396" s="125">
        <v>4.83</v>
      </c>
      <c r="H396" s="125">
        <v>4.8899999999999997</v>
      </c>
      <c r="I396" s="126">
        <v>265</v>
      </c>
      <c r="J396" s="15"/>
      <c r="K396" s="102"/>
      <c r="L396" s="15"/>
      <c r="M396" s="15"/>
      <c r="N396" s="15"/>
      <c r="O396" s="4"/>
      <c r="P396" s="4"/>
      <c r="Q396" s="4"/>
      <c r="R396" s="4"/>
      <c r="S396" s="4"/>
      <c r="T396" s="4"/>
      <c r="V396" s="4"/>
      <c r="W396" s="4"/>
      <c r="X396" s="4"/>
      <c r="Y396" s="4"/>
      <c r="Z396" s="4"/>
      <c r="AA396" s="4"/>
    </row>
    <row r="397" spans="1:27">
      <c r="A397" s="112">
        <v>45886</v>
      </c>
      <c r="B397" s="81" t="s">
        <v>33</v>
      </c>
      <c r="C397" s="61" t="s">
        <v>363</v>
      </c>
      <c r="D397" s="81"/>
      <c r="E397" s="81" t="s">
        <v>356</v>
      </c>
      <c r="F397" s="61" t="s">
        <v>22</v>
      </c>
      <c r="G397" s="124">
        <v>4.75</v>
      </c>
      <c r="H397" s="124">
        <v>4.8600000000000003</v>
      </c>
      <c r="I397" s="127">
        <v>144</v>
      </c>
      <c r="J397" s="15"/>
      <c r="K397" s="102"/>
      <c r="L397" s="15"/>
      <c r="M397" s="15"/>
      <c r="N397" s="15"/>
      <c r="O397" s="4"/>
      <c r="P397" s="4"/>
      <c r="Q397" s="4"/>
      <c r="R397" s="4"/>
      <c r="S397" s="4"/>
      <c r="T397" s="4"/>
      <c r="V397" s="4"/>
      <c r="W397" s="4"/>
      <c r="X397" s="4"/>
      <c r="Y397" s="4"/>
      <c r="Z397" s="4"/>
      <c r="AA397" s="4"/>
    </row>
    <row r="398" spans="1:27">
      <c r="A398" s="112">
        <v>45886</v>
      </c>
      <c r="B398" s="34" t="s">
        <v>19</v>
      </c>
      <c r="C398" s="55" t="s">
        <v>370</v>
      </c>
      <c r="D398" s="55"/>
      <c r="E398" s="55" t="s">
        <v>322</v>
      </c>
      <c r="F398" s="55" t="s">
        <v>187</v>
      </c>
      <c r="G398" s="55">
        <v>4.71</v>
      </c>
      <c r="H398" s="55">
        <v>4.76</v>
      </c>
      <c r="I398" s="55">
        <v>88</v>
      </c>
      <c r="J398" s="15"/>
      <c r="K398" s="102"/>
      <c r="L398" s="15"/>
      <c r="M398" s="15"/>
      <c r="N398" s="15"/>
      <c r="O398" s="4"/>
      <c r="P398" s="4"/>
      <c r="Q398" s="4"/>
      <c r="R398" s="4"/>
      <c r="S398" s="4"/>
      <c r="T398" s="4"/>
      <c r="V398" s="4"/>
      <c r="W398" s="4"/>
      <c r="X398" s="4"/>
      <c r="Y398" s="4"/>
      <c r="Z398" s="4"/>
      <c r="AA398" s="4"/>
    </row>
    <row r="399" spans="1:27">
      <c r="A399" s="112">
        <v>45886</v>
      </c>
      <c r="B399" s="61" t="s">
        <v>333</v>
      </c>
      <c r="C399" s="61" t="s">
        <v>334</v>
      </c>
      <c r="D399" s="81"/>
      <c r="E399" s="81" t="s">
        <v>340</v>
      </c>
      <c r="F399" s="61" t="s">
        <v>22</v>
      </c>
      <c r="G399" s="124">
        <v>4.6399999999999997</v>
      </c>
      <c r="H399" s="124">
        <v>4.72</v>
      </c>
      <c r="I399" s="127">
        <v>374</v>
      </c>
      <c r="J399" s="15"/>
      <c r="K399" s="102"/>
      <c r="L399" s="15"/>
      <c r="M399" s="15"/>
      <c r="N399" s="15"/>
      <c r="O399" s="4"/>
      <c r="P399" s="4"/>
      <c r="Q399" s="4"/>
      <c r="R399" s="4"/>
      <c r="S399" s="4"/>
      <c r="T399" s="4"/>
      <c r="V399" s="4"/>
      <c r="W399" s="4"/>
      <c r="X399" s="4"/>
      <c r="Y399" s="4"/>
      <c r="Z399" s="4"/>
      <c r="AA399" s="4"/>
    </row>
    <row r="400" spans="1:27">
      <c r="A400" s="112">
        <v>45886</v>
      </c>
      <c r="B400" s="77" t="s">
        <v>33</v>
      </c>
      <c r="C400" s="55" t="s">
        <v>222</v>
      </c>
      <c r="D400" s="55"/>
      <c r="E400" s="55" t="s">
        <v>355</v>
      </c>
      <c r="F400" s="55" t="s">
        <v>22</v>
      </c>
      <c r="G400" s="125">
        <v>4.63</v>
      </c>
      <c r="H400" s="125">
        <v>4.76</v>
      </c>
      <c r="I400" s="126">
        <v>72</v>
      </c>
      <c r="J400" s="15"/>
      <c r="K400" s="102"/>
      <c r="L400" s="15"/>
      <c r="M400" s="15"/>
      <c r="N400" s="15"/>
      <c r="O400" s="4"/>
      <c r="P400" s="4"/>
      <c r="Q400" s="4"/>
      <c r="R400" s="4"/>
      <c r="S400" s="4"/>
      <c r="T400" s="4"/>
      <c r="V400" s="4"/>
      <c r="W400" s="4"/>
      <c r="X400" s="4"/>
      <c r="Y400" s="4"/>
      <c r="Z400" s="4"/>
      <c r="AA400" s="4"/>
    </row>
    <row r="401" spans="1:27">
      <c r="A401" s="112">
        <v>45886</v>
      </c>
      <c r="B401" s="61" t="s">
        <v>68</v>
      </c>
      <c r="C401" s="61" t="s">
        <v>251</v>
      </c>
      <c r="D401" s="61"/>
      <c r="E401" s="61" t="s">
        <v>346</v>
      </c>
      <c r="F401" s="61" t="s">
        <v>22</v>
      </c>
      <c r="G401" s="124">
        <v>4.55</v>
      </c>
      <c r="H401" s="124">
        <v>4.57</v>
      </c>
      <c r="I401" s="127">
        <v>59</v>
      </c>
      <c r="J401" s="15"/>
      <c r="K401" s="102"/>
      <c r="L401" s="15"/>
      <c r="M401" s="15"/>
      <c r="N401" s="15"/>
      <c r="O401" s="4"/>
      <c r="P401" s="4"/>
      <c r="Q401" s="4"/>
      <c r="R401" s="4"/>
      <c r="S401" s="4"/>
      <c r="T401" s="4"/>
      <c r="V401" s="4"/>
      <c r="W401" s="4"/>
      <c r="X401" s="4"/>
      <c r="Y401" s="4"/>
      <c r="Z401" s="4"/>
      <c r="AA401" s="4"/>
    </row>
    <row r="402" spans="1:27">
      <c r="A402" s="112">
        <v>45886</v>
      </c>
      <c r="B402" s="55" t="s">
        <v>81</v>
      </c>
      <c r="C402" s="55" t="s">
        <v>114</v>
      </c>
      <c r="D402" s="55"/>
      <c r="E402" s="55" t="s">
        <v>338</v>
      </c>
      <c r="F402" s="55" t="s">
        <v>22</v>
      </c>
      <c r="G402" s="125">
        <v>4.38</v>
      </c>
      <c r="H402" s="125">
        <v>4.6100000000000003</v>
      </c>
      <c r="I402" s="126">
        <v>59</v>
      </c>
      <c r="J402" s="15"/>
      <c r="K402" s="102"/>
      <c r="L402" s="15"/>
      <c r="M402" s="15"/>
      <c r="N402" s="15"/>
      <c r="O402" s="4"/>
      <c r="P402" s="4"/>
      <c r="Q402" s="4"/>
      <c r="R402" s="4"/>
      <c r="S402" s="4"/>
      <c r="T402" s="4"/>
      <c r="V402" s="4"/>
      <c r="W402" s="4"/>
      <c r="X402" s="4"/>
      <c r="Y402" s="4"/>
      <c r="Z402" s="4"/>
      <c r="AA402" s="4"/>
    </row>
    <row r="403" spans="1:27">
      <c r="A403" s="112">
        <v>45885</v>
      </c>
      <c r="B403" s="61" t="s">
        <v>349</v>
      </c>
      <c r="C403" s="61" t="s">
        <v>328</v>
      </c>
      <c r="D403" s="81"/>
      <c r="E403" s="81" t="s">
        <v>340</v>
      </c>
      <c r="F403" s="61" t="s">
        <v>22</v>
      </c>
      <c r="G403" s="124">
        <v>4.6399999999999997</v>
      </c>
      <c r="H403" s="124">
        <v>4.7300000000000004</v>
      </c>
      <c r="I403" s="54">
        <v>172</v>
      </c>
      <c r="J403" s="15"/>
      <c r="K403" s="102"/>
      <c r="L403" s="15"/>
      <c r="M403" s="15"/>
      <c r="N403" s="15"/>
      <c r="O403" s="4"/>
      <c r="P403" s="4"/>
      <c r="Q403" s="4"/>
      <c r="R403" s="4"/>
      <c r="S403" s="4"/>
      <c r="T403" s="4"/>
      <c r="V403" s="4"/>
      <c r="W403" s="4"/>
      <c r="X403" s="4"/>
      <c r="Y403" s="4"/>
      <c r="Z403" s="4"/>
      <c r="AA403" s="4"/>
    </row>
    <row r="404" spans="1:27">
      <c r="A404" s="112">
        <v>45885</v>
      </c>
      <c r="B404" s="77" t="s">
        <v>33</v>
      </c>
      <c r="C404" s="55" t="s">
        <v>347</v>
      </c>
      <c r="D404" s="55"/>
      <c r="E404" s="55" t="s">
        <v>338</v>
      </c>
      <c r="F404" s="55" t="s">
        <v>22</v>
      </c>
      <c r="G404" s="125">
        <v>4.6100000000000003</v>
      </c>
      <c r="H404" s="125">
        <v>4.6900000000000004</v>
      </c>
      <c r="I404" s="125">
        <v>64</v>
      </c>
      <c r="J404" s="15"/>
      <c r="K404" s="102"/>
      <c r="L404" s="15"/>
      <c r="M404" s="15"/>
      <c r="N404" s="15"/>
      <c r="O404" s="4"/>
      <c r="P404" s="4"/>
      <c r="Q404" s="4"/>
      <c r="R404" s="4"/>
      <c r="S404" s="4"/>
      <c r="T404" s="4"/>
      <c r="V404" s="4"/>
      <c r="W404" s="4"/>
      <c r="X404" s="4"/>
      <c r="Y404" s="4"/>
      <c r="Z404" s="4"/>
      <c r="AA404" s="4"/>
    </row>
    <row r="405" spans="1:27">
      <c r="A405" s="112">
        <v>45885</v>
      </c>
      <c r="B405" s="49" t="s">
        <v>77</v>
      </c>
      <c r="C405" s="61" t="s">
        <v>341</v>
      </c>
      <c r="D405" s="61"/>
      <c r="E405" s="61" t="s">
        <v>339</v>
      </c>
      <c r="F405" s="61" t="s">
        <v>187</v>
      </c>
      <c r="G405" s="124">
        <v>4.57</v>
      </c>
      <c r="H405" s="124">
        <v>4.74</v>
      </c>
      <c r="I405" s="128">
        <v>100</v>
      </c>
      <c r="J405" s="15"/>
      <c r="K405" s="102"/>
      <c r="L405" s="15"/>
      <c r="M405" s="15"/>
      <c r="N405" s="15"/>
      <c r="O405" s="4"/>
      <c r="P405" s="4"/>
      <c r="Q405" s="4"/>
      <c r="R405" s="4"/>
      <c r="S405" s="4"/>
      <c r="T405" s="4"/>
      <c r="V405" s="4"/>
      <c r="W405" s="4"/>
      <c r="X405" s="4"/>
      <c r="Y405" s="4"/>
      <c r="Z405" s="4"/>
      <c r="AA405" s="4"/>
    </row>
    <row r="406" spans="1:27">
      <c r="A406" s="112">
        <v>45885</v>
      </c>
      <c r="B406" s="77" t="s">
        <v>33</v>
      </c>
      <c r="C406" s="55" t="s">
        <v>230</v>
      </c>
      <c r="D406" s="55"/>
      <c r="E406" s="55" t="s">
        <v>355</v>
      </c>
      <c r="F406" s="55" t="s">
        <v>22</v>
      </c>
      <c r="G406" s="125">
        <v>4.5199999999999996</v>
      </c>
      <c r="H406" s="125">
        <v>4.59</v>
      </c>
      <c r="I406" s="125">
        <v>96</v>
      </c>
      <c r="J406" s="15"/>
      <c r="K406" s="102"/>
      <c r="L406" s="15"/>
      <c r="M406" s="15"/>
      <c r="N406" s="15"/>
      <c r="O406" s="4"/>
      <c r="P406" s="4"/>
      <c r="Q406" s="4"/>
      <c r="R406" s="4"/>
      <c r="S406" s="4"/>
      <c r="T406" s="4"/>
      <c r="V406" s="4"/>
      <c r="W406" s="4"/>
      <c r="X406" s="4"/>
      <c r="Y406" s="4"/>
      <c r="Z406" s="4"/>
      <c r="AA406" s="4"/>
    </row>
    <row r="407" spans="1:27">
      <c r="A407" s="112">
        <v>45885</v>
      </c>
      <c r="B407" s="61" t="s">
        <v>68</v>
      </c>
      <c r="C407" s="61" t="s">
        <v>371</v>
      </c>
      <c r="D407" s="61"/>
      <c r="E407" s="61" t="s">
        <v>313</v>
      </c>
      <c r="F407" s="61" t="s">
        <v>187</v>
      </c>
      <c r="G407" s="129">
        <v>4.42</v>
      </c>
      <c r="H407" s="129">
        <v>4.71</v>
      </c>
      <c r="I407" s="129">
        <v>7</v>
      </c>
      <c r="J407" s="15"/>
      <c r="K407" s="102"/>
      <c r="L407" s="15"/>
      <c r="M407" s="15"/>
      <c r="N407" s="15"/>
      <c r="O407" s="4"/>
      <c r="P407" s="4"/>
      <c r="Q407" s="4"/>
      <c r="R407" s="4"/>
      <c r="S407" s="4"/>
      <c r="T407" s="4"/>
      <c r="V407" s="4"/>
      <c r="W407" s="4"/>
      <c r="X407" s="4"/>
      <c r="Y407" s="4"/>
      <c r="Z407" s="4"/>
      <c r="AA407" s="4"/>
    </row>
    <row r="408" spans="1:27">
      <c r="A408" s="112">
        <v>45885</v>
      </c>
      <c r="B408" s="55" t="s">
        <v>68</v>
      </c>
      <c r="C408" s="55" t="s">
        <v>252</v>
      </c>
      <c r="D408" s="55"/>
      <c r="E408" s="55" t="s">
        <v>346</v>
      </c>
      <c r="F408" s="55" t="s">
        <v>22</v>
      </c>
      <c r="G408" s="125">
        <v>4.42</v>
      </c>
      <c r="H408" s="125">
        <v>4.4400000000000004</v>
      </c>
      <c r="I408" s="73">
        <v>43</v>
      </c>
      <c r="J408" s="15"/>
      <c r="K408" s="102"/>
      <c r="L408" s="15"/>
      <c r="M408" s="15"/>
      <c r="N408" s="15"/>
      <c r="O408" s="4"/>
      <c r="P408" s="4"/>
      <c r="Q408" s="4"/>
      <c r="R408" s="4"/>
      <c r="S408" s="4"/>
      <c r="T408" s="4"/>
      <c r="V408" s="4"/>
      <c r="W408" s="4"/>
      <c r="X408" s="4"/>
      <c r="Y408" s="4"/>
      <c r="Z408" s="4"/>
      <c r="AA408" s="4"/>
    </row>
    <row r="409" spans="1:27">
      <c r="A409" s="112">
        <v>45885</v>
      </c>
      <c r="B409" s="61" t="s">
        <v>81</v>
      </c>
      <c r="C409" s="61" t="s">
        <v>282</v>
      </c>
      <c r="D409" s="81"/>
      <c r="E409" s="81" t="s">
        <v>356</v>
      </c>
      <c r="F409" s="81" t="s">
        <v>22</v>
      </c>
      <c r="G409" s="124">
        <v>4.3899999999999997</v>
      </c>
      <c r="H409" s="124">
        <v>4.5599999999999996</v>
      </c>
      <c r="I409" s="54">
        <v>50</v>
      </c>
      <c r="J409" s="15"/>
      <c r="K409" s="102"/>
      <c r="L409" s="15"/>
      <c r="M409" s="15"/>
      <c r="N409" s="15"/>
      <c r="O409" s="4"/>
      <c r="P409" s="4"/>
      <c r="Q409" s="4"/>
      <c r="R409" s="4"/>
      <c r="S409" s="4"/>
      <c r="T409" s="4"/>
      <c r="V409" s="4"/>
      <c r="W409" s="4"/>
      <c r="X409" s="4"/>
      <c r="Y409" s="4"/>
      <c r="Z409" s="4"/>
      <c r="AA409" s="4"/>
    </row>
    <row r="410" spans="1:27">
      <c r="A410" s="112">
        <v>45885</v>
      </c>
      <c r="B410" s="55" t="s">
        <v>372</v>
      </c>
      <c r="C410" s="55" t="s">
        <v>179</v>
      </c>
      <c r="D410" s="55"/>
      <c r="E410" s="55" t="s">
        <v>322</v>
      </c>
      <c r="F410" s="55" t="s">
        <v>187</v>
      </c>
      <c r="G410" s="125">
        <v>4.37</v>
      </c>
      <c r="H410" s="125">
        <v>4.43</v>
      </c>
      <c r="I410" s="130">
        <v>28</v>
      </c>
      <c r="J410" s="15"/>
      <c r="K410" s="102"/>
      <c r="L410" s="15"/>
      <c r="M410" s="15"/>
      <c r="N410" s="15"/>
      <c r="O410" s="4"/>
      <c r="P410" s="4"/>
      <c r="Q410" s="4"/>
      <c r="R410" s="4"/>
      <c r="S410" s="4"/>
      <c r="T410" s="4"/>
      <c r="V410" s="4"/>
      <c r="W410" s="4"/>
      <c r="X410" s="4"/>
      <c r="Y410" s="4"/>
      <c r="Z410" s="4"/>
      <c r="AA410" s="4"/>
    </row>
    <row r="411" spans="1:27">
      <c r="A411" s="131">
        <v>45879</v>
      </c>
      <c r="B411" s="61" t="s">
        <v>333</v>
      </c>
      <c r="C411" s="111" t="s">
        <v>343</v>
      </c>
      <c r="D411" s="132"/>
      <c r="E411" s="132" t="s">
        <v>340</v>
      </c>
      <c r="F411" s="55" t="s">
        <v>22</v>
      </c>
      <c r="G411" s="55">
        <v>4.71</v>
      </c>
      <c r="H411" s="55">
        <v>4.74</v>
      </c>
      <c r="I411" s="113">
        <v>427</v>
      </c>
      <c r="J411" s="120"/>
      <c r="K411" s="133"/>
      <c r="L411" s="66"/>
      <c r="M411" s="66"/>
      <c r="N411" s="66"/>
    </row>
    <row r="412" spans="1:27">
      <c r="A412" s="131">
        <v>45879</v>
      </c>
      <c r="B412" s="77" t="s">
        <v>33</v>
      </c>
      <c r="C412" s="61" t="s">
        <v>357</v>
      </c>
      <c r="D412" s="61"/>
      <c r="E412" s="61" t="s">
        <v>338</v>
      </c>
      <c r="F412" s="61" t="s">
        <v>187</v>
      </c>
      <c r="G412" s="61">
        <v>4.67</v>
      </c>
      <c r="H412" s="61">
        <v>4.75</v>
      </c>
      <c r="I412" s="113">
        <v>134</v>
      </c>
      <c r="J412" s="120"/>
      <c r="K412" s="133"/>
      <c r="L412" s="66"/>
      <c r="M412" s="66"/>
      <c r="N412" s="66"/>
    </row>
    <row r="413" spans="1:27">
      <c r="A413" s="131">
        <v>45879</v>
      </c>
      <c r="B413" s="55" t="s">
        <v>81</v>
      </c>
      <c r="C413" s="55" t="s">
        <v>289</v>
      </c>
      <c r="D413" s="77"/>
      <c r="E413" s="77" t="s">
        <v>356</v>
      </c>
      <c r="F413" s="55" t="s">
        <v>22</v>
      </c>
      <c r="G413" s="55">
        <v>4.66</v>
      </c>
      <c r="H413" s="55">
        <v>4.75</v>
      </c>
      <c r="I413" s="113">
        <v>186</v>
      </c>
      <c r="J413" s="120"/>
      <c r="K413" s="134" t="s">
        <v>373</v>
      </c>
      <c r="L413" s="66"/>
      <c r="M413" s="66"/>
      <c r="N413" s="66"/>
    </row>
    <row r="414" spans="1:27">
      <c r="A414" s="131">
        <v>45879</v>
      </c>
      <c r="B414" s="24" t="s">
        <v>47</v>
      </c>
      <c r="C414" s="61" t="s">
        <v>364</v>
      </c>
      <c r="D414" s="81"/>
      <c r="E414" s="81" t="s">
        <v>339</v>
      </c>
      <c r="F414" s="81" t="s">
        <v>187</v>
      </c>
      <c r="G414" s="81">
        <v>4.59</v>
      </c>
      <c r="H414" s="81">
        <v>4.6100000000000003</v>
      </c>
      <c r="I414" s="113">
        <v>167</v>
      </c>
      <c r="J414" s="120"/>
      <c r="K414" s="134" t="s">
        <v>374</v>
      </c>
      <c r="L414" s="66"/>
      <c r="M414" s="66"/>
      <c r="N414" s="66"/>
    </row>
    <row r="415" spans="1:27">
      <c r="A415" s="131">
        <v>45879</v>
      </c>
      <c r="B415" s="61" t="s">
        <v>68</v>
      </c>
      <c r="C415" s="55" t="s">
        <v>375</v>
      </c>
      <c r="D415" s="55"/>
      <c r="E415" s="55" t="s">
        <v>313</v>
      </c>
      <c r="F415" s="55" t="s">
        <v>187</v>
      </c>
      <c r="G415" s="55">
        <v>4.5</v>
      </c>
      <c r="H415" s="55">
        <v>4.75</v>
      </c>
      <c r="I415" s="113">
        <v>28</v>
      </c>
      <c r="J415" s="120"/>
      <c r="K415" s="134" t="s">
        <v>376</v>
      </c>
      <c r="L415" s="66"/>
      <c r="M415" s="66"/>
      <c r="N415" s="66"/>
    </row>
    <row r="416" spans="1:27">
      <c r="A416" s="131">
        <v>45879</v>
      </c>
      <c r="B416" s="55" t="s">
        <v>372</v>
      </c>
      <c r="C416" s="61" t="s">
        <v>188</v>
      </c>
      <c r="D416" s="61"/>
      <c r="E416" s="61" t="s">
        <v>322</v>
      </c>
      <c r="F416" s="61" t="s">
        <v>187</v>
      </c>
      <c r="G416" s="61">
        <v>4.45</v>
      </c>
      <c r="H416" s="61">
        <v>4.47</v>
      </c>
      <c r="I416" s="113">
        <v>40</v>
      </c>
      <c r="J416" s="120"/>
      <c r="K416" s="134" t="s">
        <v>377</v>
      </c>
      <c r="L416" s="66"/>
      <c r="M416" s="66"/>
      <c r="N416" s="66"/>
    </row>
    <row r="417" spans="1:14">
      <c r="A417" s="131">
        <v>45879</v>
      </c>
      <c r="B417" s="81" t="s">
        <v>33</v>
      </c>
      <c r="C417" s="55" t="s">
        <v>239</v>
      </c>
      <c r="D417" s="55"/>
      <c r="E417" s="55" t="s">
        <v>355</v>
      </c>
      <c r="F417" s="55" t="s">
        <v>22</v>
      </c>
      <c r="G417" s="55">
        <v>4.45</v>
      </c>
      <c r="H417" s="55">
        <v>4.5999999999999996</v>
      </c>
      <c r="I417" s="113">
        <v>197</v>
      </c>
      <c r="J417" s="120"/>
      <c r="K417" s="134"/>
      <c r="L417" s="66"/>
      <c r="M417" s="66"/>
      <c r="N417" s="66"/>
    </row>
    <row r="418" spans="1:14">
      <c r="A418" s="131">
        <v>45879</v>
      </c>
      <c r="B418" s="55" t="s">
        <v>68</v>
      </c>
      <c r="C418" s="61" t="s">
        <v>202</v>
      </c>
      <c r="D418" s="61"/>
      <c r="E418" s="61" t="s">
        <v>346</v>
      </c>
      <c r="F418" s="61" t="s">
        <v>22</v>
      </c>
      <c r="G418" s="61">
        <v>4.4400000000000004</v>
      </c>
      <c r="H418" s="61">
        <v>4.66</v>
      </c>
      <c r="I418" s="113">
        <v>54</v>
      </c>
      <c r="J418" s="120"/>
      <c r="K418" s="134" t="s">
        <v>378</v>
      </c>
      <c r="L418" s="66"/>
      <c r="M418" s="66"/>
      <c r="N418" s="66"/>
    </row>
    <row r="419" spans="1:14">
      <c r="A419" s="131">
        <v>45878</v>
      </c>
      <c r="B419" s="81" t="s">
        <v>33</v>
      </c>
      <c r="C419" s="135" t="s">
        <v>363</v>
      </c>
      <c r="D419" s="61"/>
      <c r="E419" s="61" t="s">
        <v>338</v>
      </c>
      <c r="F419" s="61" t="s">
        <v>187</v>
      </c>
      <c r="G419" s="61">
        <v>4.79</v>
      </c>
      <c r="H419" s="61">
        <v>4.7</v>
      </c>
      <c r="I419" s="61">
        <v>122</v>
      </c>
      <c r="J419" s="120"/>
      <c r="K419" s="134"/>
      <c r="L419" s="66"/>
      <c r="M419" s="66"/>
      <c r="N419" s="66"/>
    </row>
    <row r="420" spans="1:14">
      <c r="A420" s="131">
        <v>45878</v>
      </c>
      <c r="B420" s="55" t="s">
        <v>297</v>
      </c>
      <c r="C420" s="136" t="s">
        <v>358</v>
      </c>
      <c r="D420" s="77"/>
      <c r="E420" s="77" t="s">
        <v>356</v>
      </c>
      <c r="F420" s="55" t="s">
        <v>22</v>
      </c>
      <c r="G420" s="55">
        <v>4.71</v>
      </c>
      <c r="H420" s="55">
        <v>4.83</v>
      </c>
      <c r="I420" s="55">
        <v>249</v>
      </c>
      <c r="J420" s="120"/>
      <c r="K420" s="134"/>
      <c r="L420" s="66"/>
      <c r="M420" s="66"/>
      <c r="N420" s="66"/>
    </row>
    <row r="421" spans="1:14">
      <c r="A421" s="131">
        <v>45878</v>
      </c>
      <c r="B421" s="81" t="s">
        <v>33</v>
      </c>
      <c r="C421" s="135" t="s">
        <v>253</v>
      </c>
      <c r="D421" s="61"/>
      <c r="E421" s="61" t="s">
        <v>355</v>
      </c>
      <c r="F421" s="61" t="s">
        <v>22</v>
      </c>
      <c r="G421" s="61">
        <v>4.66</v>
      </c>
      <c r="H421" s="61">
        <v>4.6900000000000004</v>
      </c>
      <c r="I421" s="61">
        <v>154</v>
      </c>
      <c r="J421" s="120"/>
      <c r="K421" s="134" t="s">
        <v>379</v>
      </c>
      <c r="L421" s="66"/>
      <c r="M421" s="66"/>
      <c r="N421" s="66"/>
    </row>
    <row r="422" spans="1:14">
      <c r="A422" s="131">
        <v>45878</v>
      </c>
      <c r="B422" s="55" t="s">
        <v>68</v>
      </c>
      <c r="C422" s="136" t="s">
        <v>205</v>
      </c>
      <c r="D422" s="77"/>
      <c r="E422" s="77" t="s">
        <v>340</v>
      </c>
      <c r="F422" s="55" t="s">
        <v>22</v>
      </c>
      <c r="G422" s="55">
        <v>4.59</v>
      </c>
      <c r="H422" s="55">
        <v>4.6500000000000004</v>
      </c>
      <c r="I422" s="55">
        <v>69</v>
      </c>
      <c r="J422" s="120"/>
      <c r="K422" s="134" t="s">
        <v>380</v>
      </c>
      <c r="L422" s="66"/>
      <c r="M422" s="66"/>
      <c r="N422" s="66"/>
    </row>
    <row r="423" spans="1:14">
      <c r="A423" s="131">
        <v>45878</v>
      </c>
      <c r="B423" s="24" t="s">
        <v>47</v>
      </c>
      <c r="C423" s="135" t="s">
        <v>348</v>
      </c>
      <c r="D423" s="81"/>
      <c r="E423" s="81" t="s">
        <v>339</v>
      </c>
      <c r="F423" s="81" t="s">
        <v>187</v>
      </c>
      <c r="G423" s="81">
        <v>4.55</v>
      </c>
      <c r="H423" s="81">
        <v>4.59</v>
      </c>
      <c r="I423" s="81">
        <v>123</v>
      </c>
      <c r="J423" s="120"/>
      <c r="K423" s="134" t="s">
        <v>381</v>
      </c>
      <c r="L423" s="66"/>
      <c r="M423" s="66"/>
      <c r="N423" s="66"/>
    </row>
    <row r="424" spans="1:14">
      <c r="A424" s="131">
        <v>45878</v>
      </c>
      <c r="B424" s="136" t="s">
        <v>349</v>
      </c>
      <c r="C424" s="136" t="s">
        <v>382</v>
      </c>
      <c r="D424" s="77"/>
      <c r="E424" s="77" t="s">
        <v>340</v>
      </c>
      <c r="F424" s="55" t="s">
        <v>22</v>
      </c>
      <c r="G424" s="55">
        <v>4.54</v>
      </c>
      <c r="H424" s="55">
        <v>4.6500000000000004</v>
      </c>
      <c r="I424" s="55">
        <v>256</v>
      </c>
      <c r="J424" s="120"/>
      <c r="K424" s="134"/>
      <c r="L424" s="66"/>
      <c r="M424" s="66"/>
      <c r="N424" s="66"/>
    </row>
    <row r="425" spans="1:14">
      <c r="A425" s="131">
        <v>45872</v>
      </c>
      <c r="B425" s="103" t="s">
        <v>333</v>
      </c>
      <c r="C425" s="137" t="s">
        <v>383</v>
      </c>
      <c r="D425" s="58"/>
      <c r="E425" s="58" t="s">
        <v>339</v>
      </c>
      <c r="F425" s="137" t="s">
        <v>22</v>
      </c>
      <c r="G425" s="58">
        <v>4.6900000000000004</v>
      </c>
      <c r="H425" s="58">
        <v>4.78</v>
      </c>
      <c r="I425" s="55">
        <v>347</v>
      </c>
      <c r="J425" s="120"/>
      <c r="K425" s="134"/>
      <c r="L425" s="66"/>
      <c r="M425" s="66"/>
      <c r="N425" s="66"/>
    </row>
    <row r="426" spans="1:14">
      <c r="A426" s="131">
        <v>45872</v>
      </c>
      <c r="B426" s="103" t="s">
        <v>353</v>
      </c>
      <c r="C426" s="137" t="s">
        <v>262</v>
      </c>
      <c r="D426" s="58"/>
      <c r="E426" s="58" t="s">
        <v>346</v>
      </c>
      <c r="F426" s="137" t="s">
        <v>187</v>
      </c>
      <c r="G426" s="137">
        <v>4.68</v>
      </c>
      <c r="H426" s="137">
        <v>4.7</v>
      </c>
      <c r="I426" s="55">
        <v>64</v>
      </c>
      <c r="J426" s="120"/>
      <c r="K426" s="134"/>
      <c r="L426" s="66"/>
      <c r="M426" s="66"/>
      <c r="N426" s="66"/>
    </row>
    <row r="427" spans="1:14">
      <c r="A427" s="131">
        <v>45872</v>
      </c>
      <c r="B427" s="58" t="s">
        <v>68</v>
      </c>
      <c r="C427" s="111" t="s">
        <v>384</v>
      </c>
      <c r="D427" s="111"/>
      <c r="E427" s="111" t="s">
        <v>322</v>
      </c>
      <c r="F427" s="137" t="s">
        <v>187</v>
      </c>
      <c r="G427" s="137">
        <v>4.38</v>
      </c>
      <c r="H427" s="137">
        <v>4.58</v>
      </c>
      <c r="I427" s="55">
        <v>67</v>
      </c>
      <c r="J427" s="120"/>
      <c r="K427" s="134"/>
      <c r="L427" s="66"/>
      <c r="M427" s="66"/>
      <c r="N427" s="66"/>
    </row>
    <row r="428" spans="1:14">
      <c r="A428" s="131">
        <v>45871</v>
      </c>
      <c r="B428" s="58" t="s">
        <v>68</v>
      </c>
      <c r="C428" s="138" t="s">
        <v>385</v>
      </c>
      <c r="D428" s="58"/>
      <c r="E428" s="58" t="s">
        <v>322</v>
      </c>
      <c r="F428" s="137" t="s">
        <v>187</v>
      </c>
      <c r="G428" s="137" t="s">
        <v>386</v>
      </c>
      <c r="H428" s="137" t="s">
        <v>386</v>
      </c>
      <c r="I428" s="55"/>
      <c r="J428" s="120"/>
      <c r="K428" s="134"/>
      <c r="L428" s="66"/>
      <c r="M428" s="66"/>
      <c r="N428" s="66"/>
    </row>
    <row r="429" spans="1:14">
      <c r="A429" s="131">
        <v>45871</v>
      </c>
      <c r="B429" s="137" t="s">
        <v>349</v>
      </c>
      <c r="C429" s="137" t="s">
        <v>387</v>
      </c>
      <c r="D429" s="58"/>
      <c r="E429" s="58" t="s">
        <v>339</v>
      </c>
      <c r="F429" s="137" t="s">
        <v>22</v>
      </c>
      <c r="G429" s="137">
        <v>4.72</v>
      </c>
      <c r="H429" s="137">
        <v>4.83</v>
      </c>
      <c r="I429" s="55">
        <v>112</v>
      </c>
      <c r="J429" s="120"/>
      <c r="K429" s="134"/>
      <c r="L429" s="66"/>
      <c r="M429" s="66"/>
      <c r="N429" s="66"/>
    </row>
    <row r="430" spans="1:14">
      <c r="A430" s="131">
        <v>45871</v>
      </c>
      <c r="B430" s="103" t="s">
        <v>353</v>
      </c>
      <c r="C430" s="137" t="s">
        <v>267</v>
      </c>
      <c r="D430" s="58"/>
      <c r="E430" s="58" t="s">
        <v>346</v>
      </c>
      <c r="F430" s="137" t="s">
        <v>187</v>
      </c>
      <c r="G430" s="137">
        <v>4.55</v>
      </c>
      <c r="H430" s="137">
        <v>4.43</v>
      </c>
      <c r="I430" s="55">
        <v>99</v>
      </c>
      <c r="J430" s="120"/>
      <c r="K430" s="134"/>
      <c r="L430" s="66"/>
      <c r="M430" s="66"/>
      <c r="N430" s="66"/>
    </row>
    <row r="431" spans="1:14">
      <c r="A431" s="131">
        <v>45871</v>
      </c>
      <c r="B431" s="58" t="s">
        <v>68</v>
      </c>
      <c r="C431" s="137" t="s">
        <v>388</v>
      </c>
      <c r="D431" s="58"/>
      <c r="E431" s="58" t="s">
        <v>389</v>
      </c>
      <c r="F431" s="137" t="s">
        <v>22</v>
      </c>
      <c r="G431" s="137">
        <v>4.42</v>
      </c>
      <c r="H431" s="5">
        <v>4.6100000000000003</v>
      </c>
      <c r="I431" s="55">
        <v>49</v>
      </c>
      <c r="J431" s="120"/>
      <c r="K431" s="134"/>
      <c r="L431" s="66"/>
      <c r="M431" s="66"/>
      <c r="N431" s="66"/>
    </row>
    <row r="432" spans="1:14">
      <c r="A432" s="131">
        <v>45865</v>
      </c>
      <c r="B432" s="55" t="s">
        <v>297</v>
      </c>
      <c r="C432" s="136" t="s">
        <v>298</v>
      </c>
      <c r="D432" s="55"/>
      <c r="E432" s="55" t="s">
        <v>338</v>
      </c>
      <c r="F432" s="136" t="s">
        <v>390</v>
      </c>
      <c r="G432" s="136">
        <v>4.8099999999999996</v>
      </c>
      <c r="H432" s="136">
        <v>4.8600000000000003</v>
      </c>
      <c r="I432" s="55">
        <v>222</v>
      </c>
      <c r="J432" s="120"/>
      <c r="K432" s="134"/>
      <c r="L432" s="66"/>
      <c r="M432" s="66"/>
      <c r="N432" s="66"/>
    </row>
    <row r="433" spans="1:14">
      <c r="A433" s="131">
        <v>45865</v>
      </c>
      <c r="B433" s="135" t="s">
        <v>333</v>
      </c>
      <c r="C433" s="135" t="s">
        <v>343</v>
      </c>
      <c r="D433" s="81"/>
      <c r="E433" s="81" t="s">
        <v>339</v>
      </c>
      <c r="F433" s="135" t="s">
        <v>390</v>
      </c>
      <c r="G433" s="61">
        <v>4.79</v>
      </c>
      <c r="H433" s="61">
        <v>4.79</v>
      </c>
      <c r="I433" s="55">
        <v>259</v>
      </c>
      <c r="J433" s="120"/>
      <c r="K433" s="134"/>
      <c r="L433" s="66"/>
      <c r="M433" s="66"/>
      <c r="N433" s="66"/>
    </row>
    <row r="434" spans="1:14">
      <c r="A434" s="131">
        <v>45865</v>
      </c>
      <c r="B434" s="23" t="s">
        <v>47</v>
      </c>
      <c r="C434" s="136" t="s">
        <v>204</v>
      </c>
      <c r="D434" s="55"/>
      <c r="E434" s="55" t="s">
        <v>355</v>
      </c>
      <c r="F434" s="136" t="s">
        <v>187</v>
      </c>
      <c r="G434" s="136">
        <v>4.4800000000000004</v>
      </c>
      <c r="H434" s="136">
        <v>4.5199999999999996</v>
      </c>
      <c r="I434" s="55">
        <v>105</v>
      </c>
      <c r="J434" s="120"/>
      <c r="K434" s="134"/>
      <c r="L434" s="66"/>
      <c r="M434" s="66"/>
      <c r="N434" s="66"/>
    </row>
    <row r="435" spans="1:14">
      <c r="A435" s="131">
        <v>45865</v>
      </c>
      <c r="B435" s="135" t="s">
        <v>349</v>
      </c>
      <c r="C435" s="135" t="s">
        <v>391</v>
      </c>
      <c r="D435" s="81"/>
      <c r="E435" s="81" t="s">
        <v>356</v>
      </c>
      <c r="F435" s="135" t="s">
        <v>390</v>
      </c>
      <c r="G435" s="135">
        <v>4.45</v>
      </c>
      <c r="H435" s="135">
        <v>4.6500000000000004</v>
      </c>
      <c r="I435" s="55">
        <v>81</v>
      </c>
      <c r="J435" s="120"/>
      <c r="K435" s="134"/>
      <c r="L435" s="66"/>
      <c r="M435" s="66"/>
      <c r="N435" s="66"/>
    </row>
    <row r="436" spans="1:14">
      <c r="A436" s="131">
        <v>45865</v>
      </c>
      <c r="B436" s="136" t="s">
        <v>392</v>
      </c>
      <c r="C436" s="136" t="s">
        <v>393</v>
      </c>
      <c r="D436" s="55"/>
      <c r="E436" s="55" t="s">
        <v>346</v>
      </c>
      <c r="F436" s="136" t="s">
        <v>390</v>
      </c>
      <c r="G436" s="136">
        <v>3.28</v>
      </c>
      <c r="H436" s="136">
        <v>3.32</v>
      </c>
      <c r="I436" s="55">
        <v>46</v>
      </c>
      <c r="J436" s="120"/>
      <c r="K436" s="134"/>
      <c r="L436" s="66"/>
      <c r="M436" s="66"/>
      <c r="N436" s="66"/>
    </row>
    <row r="437" spans="1:14">
      <c r="A437" s="131">
        <v>45864</v>
      </c>
      <c r="B437" s="55" t="s">
        <v>81</v>
      </c>
      <c r="C437" s="136" t="s">
        <v>282</v>
      </c>
      <c r="D437" s="55"/>
      <c r="E437" s="55" t="s">
        <v>338</v>
      </c>
      <c r="F437" s="136" t="s">
        <v>320</v>
      </c>
      <c r="G437" s="136">
        <v>4.6399999999999997</v>
      </c>
      <c r="H437" s="136">
        <v>4.75</v>
      </c>
      <c r="I437" s="55">
        <v>136</v>
      </c>
      <c r="J437" s="120"/>
      <c r="K437" s="134"/>
      <c r="L437" s="66"/>
      <c r="M437" s="66"/>
      <c r="N437" s="66"/>
    </row>
    <row r="438" spans="1:14">
      <c r="A438" s="131">
        <v>45864</v>
      </c>
      <c r="B438" s="135" t="s">
        <v>349</v>
      </c>
      <c r="C438" s="135" t="s">
        <v>350</v>
      </c>
      <c r="D438" s="81"/>
      <c r="E438" s="81" t="s">
        <v>339</v>
      </c>
      <c r="F438" s="139" t="s">
        <v>22</v>
      </c>
      <c r="G438" s="139">
        <v>4.53</v>
      </c>
      <c r="H438" s="139">
        <v>4.6500000000000004</v>
      </c>
      <c r="I438" s="81">
        <v>376</v>
      </c>
      <c r="J438" s="120"/>
      <c r="K438" s="134"/>
      <c r="L438" s="66"/>
      <c r="M438" s="66"/>
      <c r="N438" s="66"/>
    </row>
    <row r="439" spans="1:14">
      <c r="A439" s="131">
        <v>45864</v>
      </c>
      <c r="B439" s="55" t="s">
        <v>81</v>
      </c>
      <c r="C439" s="136" t="s">
        <v>102</v>
      </c>
      <c r="D439" s="55"/>
      <c r="E439" s="55" t="s">
        <v>355</v>
      </c>
      <c r="F439" s="136" t="s">
        <v>22</v>
      </c>
      <c r="G439" s="136">
        <v>4.45</v>
      </c>
      <c r="H439" s="136">
        <v>4.6500000000000004</v>
      </c>
      <c r="I439" s="55">
        <v>104</v>
      </c>
      <c r="J439" s="120"/>
      <c r="K439" s="134"/>
      <c r="L439" s="66"/>
      <c r="M439" s="66"/>
      <c r="N439" s="66"/>
    </row>
    <row r="440" spans="1:14">
      <c r="A440" s="131">
        <v>45864</v>
      </c>
      <c r="B440" s="24" t="s">
        <v>47</v>
      </c>
      <c r="C440" s="135" t="s">
        <v>394</v>
      </c>
      <c r="D440" s="81"/>
      <c r="E440" s="81" t="s">
        <v>356</v>
      </c>
      <c r="F440" s="139" t="s">
        <v>320</v>
      </c>
      <c r="G440" s="139">
        <v>4.2699999999999996</v>
      </c>
      <c r="H440" s="139">
        <v>4.34</v>
      </c>
      <c r="I440" s="81">
        <v>70</v>
      </c>
      <c r="J440" s="120"/>
      <c r="K440" s="134"/>
      <c r="L440" s="66"/>
      <c r="M440" s="66"/>
      <c r="N440" s="66"/>
    </row>
    <row r="441" spans="1:14">
      <c r="A441" s="131">
        <v>45864</v>
      </c>
      <c r="B441" s="136" t="s">
        <v>392</v>
      </c>
      <c r="C441" s="136" t="s">
        <v>395</v>
      </c>
      <c r="D441" s="55"/>
      <c r="E441" s="55" t="s">
        <v>346</v>
      </c>
      <c r="F441" s="136" t="s">
        <v>22</v>
      </c>
      <c r="G441" s="136">
        <v>3.53</v>
      </c>
      <c r="H441" s="136">
        <v>3.71</v>
      </c>
      <c r="I441" s="55">
        <v>49</v>
      </c>
      <c r="J441" s="120"/>
      <c r="K441" s="134"/>
      <c r="L441" s="66"/>
      <c r="M441" s="66"/>
      <c r="N441" s="66"/>
    </row>
    <row r="442" spans="1:14">
      <c r="A442" s="131">
        <v>45858</v>
      </c>
      <c r="B442" s="58" t="s">
        <v>81</v>
      </c>
      <c r="C442" s="137" t="s">
        <v>114</v>
      </c>
      <c r="D442" s="68"/>
      <c r="E442" s="68" t="s">
        <v>355</v>
      </c>
      <c r="F442" s="137" t="s">
        <v>22</v>
      </c>
      <c r="G442" s="5">
        <v>4.75</v>
      </c>
      <c r="H442" s="5">
        <v>4.87</v>
      </c>
      <c r="I442" s="55">
        <v>98</v>
      </c>
      <c r="J442" s="120"/>
      <c r="K442" s="134"/>
      <c r="L442" s="66"/>
      <c r="M442" s="66"/>
      <c r="N442" s="66"/>
    </row>
    <row r="443" spans="1:14">
      <c r="A443" s="131">
        <v>45858</v>
      </c>
      <c r="B443" s="58" t="s">
        <v>68</v>
      </c>
      <c r="C443" s="137" t="s">
        <v>344</v>
      </c>
      <c r="D443" s="68"/>
      <c r="E443" s="68" t="s">
        <v>389</v>
      </c>
      <c r="F443" s="136" t="s">
        <v>22</v>
      </c>
      <c r="G443" s="5">
        <v>4.62</v>
      </c>
      <c r="H443" s="64">
        <v>4.75</v>
      </c>
      <c r="I443" s="55">
        <v>24</v>
      </c>
      <c r="J443" s="120"/>
      <c r="K443" s="134"/>
      <c r="L443" s="66"/>
      <c r="M443" s="66"/>
      <c r="N443" s="66"/>
    </row>
    <row r="444" spans="1:14">
      <c r="A444" s="131">
        <v>45858</v>
      </c>
      <c r="B444" s="68" t="s">
        <v>33</v>
      </c>
      <c r="C444" s="137" t="s">
        <v>396</v>
      </c>
      <c r="D444" s="68"/>
      <c r="E444" s="68" t="s">
        <v>397</v>
      </c>
      <c r="F444" s="137" t="s">
        <v>22</v>
      </c>
      <c r="G444" s="5">
        <v>4.54</v>
      </c>
      <c r="H444" s="5">
        <v>4.66</v>
      </c>
      <c r="I444" s="55">
        <v>33</v>
      </c>
      <c r="J444" s="120"/>
      <c r="K444" s="134"/>
      <c r="L444" s="66"/>
      <c r="M444" s="66"/>
      <c r="N444" s="66"/>
    </row>
    <row r="445" spans="1:14">
      <c r="A445" s="131">
        <v>45858</v>
      </c>
      <c r="B445" s="58" t="s">
        <v>68</v>
      </c>
      <c r="C445" s="137" t="s">
        <v>398</v>
      </c>
      <c r="D445" s="68"/>
      <c r="E445" s="68" t="s">
        <v>399</v>
      </c>
      <c r="F445" s="136" t="s">
        <v>22</v>
      </c>
      <c r="G445" s="5">
        <v>4.49</v>
      </c>
      <c r="H445" s="64">
        <v>4.6100000000000003</v>
      </c>
      <c r="I445" s="55">
        <v>63</v>
      </c>
      <c r="J445" s="120"/>
      <c r="K445" s="134"/>
      <c r="L445" s="66"/>
      <c r="M445" s="66"/>
      <c r="N445" s="66"/>
    </row>
    <row r="446" spans="1:14">
      <c r="A446" s="131">
        <v>45858</v>
      </c>
      <c r="B446" s="137" t="s">
        <v>333</v>
      </c>
      <c r="C446" s="137" t="s">
        <v>383</v>
      </c>
      <c r="D446" s="68"/>
      <c r="E446" s="68" t="s">
        <v>356</v>
      </c>
      <c r="F446" s="137" t="s">
        <v>22</v>
      </c>
      <c r="G446" s="15">
        <v>4.42</v>
      </c>
      <c r="H446" s="15">
        <v>4.6500000000000004</v>
      </c>
      <c r="I446" s="55">
        <v>170</v>
      </c>
      <c r="J446" s="120"/>
      <c r="K446" s="134"/>
      <c r="L446" s="66"/>
      <c r="M446" s="66"/>
      <c r="N446" s="66"/>
    </row>
    <row r="447" spans="1:14">
      <c r="A447" s="131">
        <v>45857</v>
      </c>
      <c r="B447" s="61" t="s">
        <v>81</v>
      </c>
      <c r="C447" s="135" t="s">
        <v>289</v>
      </c>
      <c r="D447" s="81"/>
      <c r="E447" s="81" t="s">
        <v>338</v>
      </c>
      <c r="F447" s="135" t="s">
        <v>187</v>
      </c>
      <c r="G447" s="140">
        <v>4.7300000000000004</v>
      </c>
      <c r="H447" s="140">
        <v>4.8</v>
      </c>
      <c r="I447" s="55">
        <v>211</v>
      </c>
      <c r="J447" s="120"/>
      <c r="K447" s="134"/>
      <c r="L447" s="66"/>
      <c r="M447" s="66"/>
      <c r="N447" s="66"/>
    </row>
    <row r="448" spans="1:14">
      <c r="A448" s="131">
        <v>45857</v>
      </c>
      <c r="B448" s="55" t="s">
        <v>68</v>
      </c>
      <c r="C448" s="136" t="s">
        <v>400</v>
      </c>
      <c r="D448" s="77"/>
      <c r="E448" s="77" t="s">
        <v>401</v>
      </c>
      <c r="F448" s="136" t="s">
        <v>22</v>
      </c>
      <c r="G448" s="64">
        <v>4.71</v>
      </c>
      <c r="H448" s="64">
        <v>4.78</v>
      </c>
      <c r="I448" s="55">
        <v>28</v>
      </c>
      <c r="J448" s="120"/>
      <c r="K448" s="134"/>
      <c r="L448" s="66"/>
      <c r="M448" s="66"/>
      <c r="N448" s="66"/>
    </row>
    <row r="449" spans="1:27">
      <c r="A449" s="131">
        <v>45857</v>
      </c>
      <c r="B449" s="77" t="s">
        <v>33</v>
      </c>
      <c r="C449" s="136" t="s">
        <v>402</v>
      </c>
      <c r="D449" s="77"/>
      <c r="E449" s="77" t="s">
        <v>397</v>
      </c>
      <c r="F449" s="136" t="s">
        <v>22</v>
      </c>
      <c r="G449" s="64">
        <v>4.6500000000000004</v>
      </c>
      <c r="H449" s="64">
        <v>4.75</v>
      </c>
      <c r="I449" s="55">
        <v>44</v>
      </c>
      <c r="J449" s="120"/>
      <c r="K449" s="141"/>
      <c r="L449" s="120"/>
      <c r="M449" s="120"/>
      <c r="N449" s="120"/>
    </row>
    <row r="450" spans="1:27">
      <c r="A450" s="131">
        <v>45857</v>
      </c>
      <c r="B450" s="137" t="s">
        <v>349</v>
      </c>
      <c r="C450" s="142" t="s">
        <v>387</v>
      </c>
      <c r="D450" s="143"/>
      <c r="E450" s="143" t="s">
        <v>356</v>
      </c>
      <c r="F450" s="136" t="s">
        <v>22</v>
      </c>
      <c r="G450" s="5">
        <v>4.55</v>
      </c>
      <c r="H450" s="64">
        <v>4.6399999999999997</v>
      </c>
      <c r="I450" s="55">
        <v>87</v>
      </c>
      <c r="J450" s="120"/>
      <c r="K450" s="134"/>
      <c r="L450" s="66"/>
      <c r="M450" s="66"/>
      <c r="N450" s="66"/>
    </row>
    <row r="451" spans="1:27">
      <c r="A451" s="131">
        <v>45857</v>
      </c>
      <c r="B451" s="61" t="s">
        <v>68</v>
      </c>
      <c r="C451" s="135" t="s">
        <v>403</v>
      </c>
      <c r="D451" s="81"/>
      <c r="E451" s="81" t="s">
        <v>399</v>
      </c>
      <c r="F451" s="137" t="s">
        <v>187</v>
      </c>
      <c r="G451" s="5">
        <v>4.51</v>
      </c>
      <c r="H451" s="5">
        <v>4.59</v>
      </c>
      <c r="I451" s="55">
        <v>72</v>
      </c>
      <c r="J451" s="120"/>
      <c r="K451" s="134"/>
      <c r="L451" s="66"/>
      <c r="M451" s="66"/>
      <c r="N451" s="66"/>
    </row>
    <row r="452" spans="1:27">
      <c r="A452" s="131">
        <v>45857</v>
      </c>
      <c r="B452" s="77" t="s">
        <v>33</v>
      </c>
      <c r="C452" s="144" t="s">
        <v>357</v>
      </c>
      <c r="D452" s="77"/>
      <c r="E452" s="77" t="s">
        <v>355</v>
      </c>
      <c r="F452" s="136" t="s">
        <v>22</v>
      </c>
      <c r="G452" s="5">
        <v>4.5</v>
      </c>
      <c r="H452" s="64">
        <v>4.72</v>
      </c>
      <c r="I452" s="55">
        <v>84</v>
      </c>
      <c r="J452" s="120"/>
      <c r="K452" s="134"/>
      <c r="L452" s="66"/>
      <c r="M452" s="66"/>
      <c r="N452" s="66"/>
    </row>
    <row r="453" spans="1:27">
      <c r="A453" s="131">
        <v>45851</v>
      </c>
      <c r="B453" s="135" t="s">
        <v>333</v>
      </c>
      <c r="C453" s="135" t="s">
        <v>343</v>
      </c>
      <c r="D453" s="81"/>
      <c r="E453" s="81" t="s">
        <v>356</v>
      </c>
      <c r="F453" s="136" t="s">
        <v>22</v>
      </c>
      <c r="G453" s="15">
        <v>4.87</v>
      </c>
      <c r="H453" s="63">
        <v>4.8099999999999996</v>
      </c>
      <c r="I453" s="63">
        <v>154</v>
      </c>
      <c r="J453" s="120"/>
      <c r="K453" s="141"/>
      <c r="L453" s="120"/>
      <c r="M453" s="120"/>
      <c r="N453" s="120"/>
      <c r="O453" s="64"/>
      <c r="P453" s="64"/>
      <c r="Q453" s="64"/>
      <c r="R453" s="64"/>
      <c r="S453" s="64"/>
      <c r="T453" s="64"/>
      <c r="V453" s="64"/>
      <c r="W453" s="64"/>
      <c r="X453" s="64"/>
      <c r="Y453" s="64"/>
      <c r="Z453" s="64"/>
      <c r="AA453" s="64"/>
    </row>
    <row r="454" spans="1:27">
      <c r="A454" s="131">
        <v>45851</v>
      </c>
      <c r="B454" s="81" t="s">
        <v>33</v>
      </c>
      <c r="C454" s="135" t="s">
        <v>404</v>
      </c>
      <c r="D454" s="61"/>
      <c r="E454" s="61" t="s">
        <v>405</v>
      </c>
      <c r="F454" s="135" t="s">
        <v>22</v>
      </c>
      <c r="G454" s="140">
        <v>4.78</v>
      </c>
      <c r="H454" s="135">
        <v>4.78</v>
      </c>
      <c r="I454" s="55">
        <v>32</v>
      </c>
      <c r="J454" s="120"/>
      <c r="K454" s="141"/>
      <c r="L454" s="120"/>
      <c r="M454" s="120"/>
      <c r="N454" s="120"/>
      <c r="O454" s="64"/>
      <c r="P454" s="64"/>
      <c r="Q454" s="64"/>
      <c r="R454" s="64"/>
      <c r="S454" s="64"/>
      <c r="T454" s="64"/>
      <c r="V454" s="64"/>
      <c r="W454" s="64"/>
      <c r="X454" s="64"/>
      <c r="Y454" s="64"/>
      <c r="Z454" s="64"/>
      <c r="AA454" s="64"/>
    </row>
    <row r="455" spans="1:27">
      <c r="A455" s="131">
        <v>45851</v>
      </c>
      <c r="B455" s="77" t="s">
        <v>33</v>
      </c>
      <c r="C455" s="136" t="s">
        <v>212</v>
      </c>
      <c r="D455" s="55"/>
      <c r="E455" s="55" t="s">
        <v>397</v>
      </c>
      <c r="F455" s="136" t="s">
        <v>22</v>
      </c>
      <c r="G455" s="64">
        <v>4.7699999999999996</v>
      </c>
      <c r="H455" s="64">
        <v>4.7699999999999996</v>
      </c>
      <c r="I455" s="55">
        <v>31</v>
      </c>
      <c r="J455" s="120"/>
      <c r="K455" s="141"/>
      <c r="L455" s="120"/>
      <c r="M455" s="120"/>
      <c r="N455" s="120"/>
      <c r="O455" s="64"/>
      <c r="P455" s="64"/>
      <c r="Q455" s="64"/>
      <c r="R455" s="64"/>
      <c r="S455" s="64"/>
      <c r="T455" s="64"/>
      <c r="V455" s="64"/>
      <c r="W455" s="64"/>
      <c r="X455" s="64"/>
      <c r="Y455" s="64"/>
      <c r="Z455" s="64"/>
      <c r="AA455" s="64"/>
    </row>
    <row r="456" spans="1:27">
      <c r="A456" s="131">
        <v>45851</v>
      </c>
      <c r="B456" s="81" t="s">
        <v>33</v>
      </c>
      <c r="C456" s="135" t="s">
        <v>363</v>
      </c>
      <c r="D456" s="61"/>
      <c r="E456" s="61" t="s">
        <v>355</v>
      </c>
      <c r="F456" s="136" t="s">
        <v>22</v>
      </c>
      <c r="G456" s="140">
        <v>4.62</v>
      </c>
      <c r="H456" s="64">
        <v>4.7</v>
      </c>
      <c r="I456" s="55">
        <v>228</v>
      </c>
      <c r="J456" s="120"/>
      <c r="K456" s="141"/>
      <c r="L456" s="120"/>
      <c r="M456" s="120"/>
      <c r="N456" s="120"/>
      <c r="O456" s="64"/>
      <c r="P456" s="64"/>
      <c r="Q456" s="64"/>
      <c r="R456" s="64"/>
      <c r="S456" s="64"/>
      <c r="T456" s="64"/>
      <c r="V456" s="64"/>
      <c r="W456" s="64"/>
      <c r="X456" s="64"/>
      <c r="Y456" s="64"/>
      <c r="Z456" s="64"/>
      <c r="AA456" s="64"/>
    </row>
    <row r="457" spans="1:27">
      <c r="A457" s="131">
        <v>45851</v>
      </c>
      <c r="B457" s="55" t="s">
        <v>68</v>
      </c>
      <c r="C457" s="136" t="s">
        <v>406</v>
      </c>
      <c r="D457" s="55"/>
      <c r="E457" s="55" t="s">
        <v>322</v>
      </c>
      <c r="F457" s="136" t="s">
        <v>187</v>
      </c>
      <c r="G457" s="64">
        <v>4.57</v>
      </c>
      <c r="H457" s="136">
        <v>4.62</v>
      </c>
      <c r="I457" s="55">
        <v>69</v>
      </c>
      <c r="J457" s="120"/>
      <c r="K457" s="141"/>
      <c r="L457" s="120"/>
      <c r="M457" s="120"/>
      <c r="N457" s="120"/>
      <c r="O457" s="64"/>
      <c r="P457" s="64"/>
      <c r="Q457" s="64"/>
      <c r="R457" s="64"/>
      <c r="S457" s="64"/>
      <c r="T457" s="64"/>
      <c r="V457" s="64"/>
      <c r="W457" s="64"/>
      <c r="X457" s="64"/>
      <c r="Y457" s="64"/>
      <c r="Z457" s="64"/>
      <c r="AA457" s="64"/>
    </row>
    <row r="458" spans="1:27">
      <c r="A458" s="131">
        <v>45851</v>
      </c>
      <c r="B458" s="135" t="s">
        <v>349</v>
      </c>
      <c r="C458" s="135" t="s">
        <v>407</v>
      </c>
      <c r="D458" s="61"/>
      <c r="E458" s="61" t="s">
        <v>338</v>
      </c>
      <c r="F458" s="136" t="s">
        <v>22</v>
      </c>
      <c r="G458" s="140">
        <v>4.37</v>
      </c>
      <c r="H458" s="64">
        <v>4.55</v>
      </c>
      <c r="I458" s="55">
        <v>85</v>
      </c>
      <c r="J458" s="120"/>
      <c r="K458" s="141"/>
      <c r="L458" s="120"/>
      <c r="M458" s="120"/>
      <c r="N458" s="120"/>
      <c r="O458" s="64"/>
      <c r="P458" s="64"/>
      <c r="Q458" s="64"/>
      <c r="R458" s="64"/>
      <c r="S458" s="64"/>
      <c r="T458" s="64"/>
      <c r="V458" s="64"/>
      <c r="W458" s="64"/>
      <c r="X458" s="64"/>
      <c r="Y458" s="64"/>
      <c r="Z458" s="64"/>
      <c r="AA458" s="64"/>
    </row>
    <row r="459" spans="1:27">
      <c r="A459" s="145">
        <v>45851</v>
      </c>
      <c r="B459" s="136" t="s">
        <v>372</v>
      </c>
      <c r="C459" s="136" t="s">
        <v>179</v>
      </c>
      <c r="D459" s="55"/>
      <c r="E459" s="55" t="s">
        <v>313</v>
      </c>
      <c r="F459" s="136" t="s">
        <v>187</v>
      </c>
      <c r="G459" s="64">
        <v>4.21</v>
      </c>
      <c r="H459" s="136">
        <v>4.28</v>
      </c>
      <c r="I459" s="55">
        <v>28</v>
      </c>
      <c r="J459" s="120"/>
      <c r="K459" s="141"/>
      <c r="L459" s="120"/>
      <c r="M459" s="120"/>
      <c r="N459" s="120"/>
      <c r="O459" s="64"/>
      <c r="P459" s="64"/>
      <c r="Q459" s="64"/>
      <c r="R459" s="64"/>
      <c r="S459" s="64"/>
      <c r="T459" s="64"/>
      <c r="V459" s="64"/>
      <c r="W459" s="64"/>
      <c r="X459" s="64"/>
      <c r="Y459" s="64"/>
      <c r="Z459" s="64"/>
      <c r="AA459" s="64"/>
    </row>
    <row r="460" spans="1:27">
      <c r="A460" s="131">
        <v>45850</v>
      </c>
      <c r="B460" s="81" t="s">
        <v>33</v>
      </c>
      <c r="C460" s="139" t="s">
        <v>408</v>
      </c>
      <c r="D460" s="61"/>
      <c r="E460" s="61" t="s">
        <v>397</v>
      </c>
      <c r="F460" s="135" t="s">
        <v>22</v>
      </c>
      <c r="G460" s="140">
        <v>4.9400000000000004</v>
      </c>
      <c r="H460" s="140">
        <v>4.66</v>
      </c>
      <c r="I460" s="61">
        <v>95</v>
      </c>
      <c r="J460" s="146"/>
      <c r="K460" s="134"/>
      <c r="L460" s="66"/>
      <c r="M460" s="66"/>
      <c r="N460" s="66"/>
    </row>
    <row r="461" spans="1:27">
      <c r="A461" s="131">
        <v>45850</v>
      </c>
      <c r="B461" s="136" t="s">
        <v>349</v>
      </c>
      <c r="C461" s="144" t="s">
        <v>394</v>
      </c>
      <c r="D461" s="55"/>
      <c r="E461" s="55" t="s">
        <v>338</v>
      </c>
      <c r="F461" s="136" t="s">
        <v>22</v>
      </c>
      <c r="G461" s="64">
        <v>4.7300000000000004</v>
      </c>
      <c r="H461" s="64">
        <v>4.7</v>
      </c>
      <c r="I461" s="55">
        <v>94</v>
      </c>
      <c r="J461" s="120"/>
      <c r="K461" s="134"/>
      <c r="L461" s="66"/>
      <c r="M461" s="66"/>
      <c r="N461" s="66"/>
    </row>
    <row r="462" spans="1:27">
      <c r="A462" s="131">
        <v>45850</v>
      </c>
      <c r="B462" s="135" t="s">
        <v>372</v>
      </c>
      <c r="C462" s="139" t="s">
        <v>188</v>
      </c>
      <c r="D462" s="61"/>
      <c r="E462" s="61" t="s">
        <v>313</v>
      </c>
      <c r="F462" s="135" t="s">
        <v>187</v>
      </c>
      <c r="G462" s="140">
        <v>4.5999999999999996</v>
      </c>
      <c r="H462" s="140">
        <v>4.82</v>
      </c>
      <c r="I462" s="61">
        <v>28</v>
      </c>
      <c r="J462" s="146"/>
      <c r="K462" s="134"/>
      <c r="L462" s="66"/>
      <c r="M462" s="66"/>
      <c r="N462" s="66"/>
    </row>
    <row r="463" spans="1:27">
      <c r="A463" s="131">
        <v>45850</v>
      </c>
      <c r="B463" s="77" t="s">
        <v>33</v>
      </c>
      <c r="C463" s="144" t="s">
        <v>396</v>
      </c>
      <c r="D463" s="55"/>
      <c r="E463" s="55" t="s">
        <v>405</v>
      </c>
      <c r="F463" s="136" t="s">
        <v>22</v>
      </c>
      <c r="G463" s="64">
        <v>4.49</v>
      </c>
      <c r="H463" s="64">
        <v>4.66</v>
      </c>
      <c r="I463" s="55">
        <v>95</v>
      </c>
      <c r="J463" s="120"/>
      <c r="K463" s="134"/>
      <c r="L463" s="66"/>
      <c r="M463" s="66"/>
      <c r="N463" s="66"/>
    </row>
    <row r="464" spans="1:27">
      <c r="A464" s="131">
        <v>45850</v>
      </c>
      <c r="B464" s="135" t="s">
        <v>349</v>
      </c>
      <c r="C464" s="139" t="s">
        <v>350</v>
      </c>
      <c r="D464" s="81"/>
      <c r="E464" s="81" t="s">
        <v>356</v>
      </c>
      <c r="F464" s="135" t="s">
        <v>22</v>
      </c>
      <c r="G464" s="140">
        <v>4.45</v>
      </c>
      <c r="H464" s="140">
        <v>4.62</v>
      </c>
      <c r="I464" s="61">
        <v>202</v>
      </c>
      <c r="J464" s="146"/>
      <c r="K464" s="134"/>
      <c r="L464" s="66"/>
      <c r="M464" s="66"/>
      <c r="N464" s="66"/>
    </row>
    <row r="465" spans="1:14">
      <c r="A465" s="131">
        <v>45850</v>
      </c>
      <c r="B465" s="55" t="s">
        <v>81</v>
      </c>
      <c r="C465" s="144" t="s">
        <v>282</v>
      </c>
      <c r="D465" s="55"/>
      <c r="E465" s="55" t="s">
        <v>355</v>
      </c>
      <c r="F465" s="136" t="s">
        <v>22</v>
      </c>
      <c r="G465" s="64">
        <v>4.3899999999999997</v>
      </c>
      <c r="H465" s="64">
        <v>4.5</v>
      </c>
      <c r="I465" s="55">
        <v>140</v>
      </c>
      <c r="J465" s="120"/>
      <c r="K465" s="134"/>
      <c r="L465" s="66"/>
      <c r="M465" s="66"/>
      <c r="N465" s="66"/>
    </row>
    <row r="466" spans="1:14">
      <c r="A466" s="131">
        <v>45850</v>
      </c>
      <c r="B466" s="32" t="s">
        <v>132</v>
      </c>
      <c r="C466" s="139" t="s">
        <v>287</v>
      </c>
      <c r="D466" s="61"/>
      <c r="E466" s="61" t="s">
        <v>322</v>
      </c>
      <c r="F466" s="135" t="s">
        <v>22</v>
      </c>
      <c r="G466" s="140">
        <v>4.21</v>
      </c>
      <c r="H466" s="140">
        <v>4.3099999999999996</v>
      </c>
      <c r="I466" s="61">
        <v>66</v>
      </c>
      <c r="J466" s="146"/>
      <c r="K466" s="134"/>
      <c r="L466" s="66"/>
      <c r="M466" s="66"/>
      <c r="N466" s="66"/>
    </row>
    <row r="467" spans="1:14">
      <c r="A467" s="131">
        <v>45844</v>
      </c>
      <c r="B467" s="77" t="s">
        <v>33</v>
      </c>
      <c r="C467" s="136" t="s">
        <v>402</v>
      </c>
      <c r="D467" s="55"/>
      <c r="E467" s="55" t="s">
        <v>405</v>
      </c>
      <c r="F467" s="136" t="s">
        <v>22</v>
      </c>
      <c r="G467" s="64">
        <v>4.72</v>
      </c>
      <c r="H467" s="147">
        <v>4.78</v>
      </c>
      <c r="I467" s="55">
        <v>65</v>
      </c>
      <c r="J467" s="120"/>
      <c r="K467" s="134"/>
      <c r="L467" s="66"/>
      <c r="M467" s="66"/>
      <c r="N467" s="66"/>
    </row>
    <row r="468" spans="1:14">
      <c r="A468" s="131">
        <v>45844</v>
      </c>
      <c r="B468" s="61" t="s">
        <v>81</v>
      </c>
      <c r="C468" s="135" t="s">
        <v>102</v>
      </c>
      <c r="D468" s="61"/>
      <c r="E468" s="61" t="s">
        <v>397</v>
      </c>
      <c r="F468" s="135" t="s">
        <v>22</v>
      </c>
      <c r="G468" s="140">
        <v>4.68</v>
      </c>
      <c r="H468" s="148">
        <v>4.75</v>
      </c>
      <c r="I468" s="61">
        <v>45</v>
      </c>
      <c r="J468" s="146"/>
      <c r="K468" s="134"/>
      <c r="L468" s="66"/>
      <c r="M468" s="66"/>
      <c r="N468" s="66"/>
    </row>
    <row r="469" spans="1:14">
      <c r="A469" s="131">
        <v>45844</v>
      </c>
      <c r="B469" s="55" t="s">
        <v>81</v>
      </c>
      <c r="C469" s="136" t="s">
        <v>289</v>
      </c>
      <c r="D469" s="55"/>
      <c r="E469" s="55" t="s">
        <v>355</v>
      </c>
      <c r="F469" s="136" t="s">
        <v>187</v>
      </c>
      <c r="G469" s="64">
        <v>4.6399999999999997</v>
      </c>
      <c r="H469" s="147">
        <v>4.75</v>
      </c>
      <c r="I469" s="55">
        <v>324</v>
      </c>
      <c r="J469" s="120"/>
      <c r="K469" s="134"/>
      <c r="L469" s="66"/>
      <c r="M469" s="66"/>
      <c r="N469" s="66"/>
    </row>
    <row r="470" spans="1:14">
      <c r="A470" s="131">
        <v>45844</v>
      </c>
      <c r="B470" s="135" t="s">
        <v>333</v>
      </c>
      <c r="C470" s="135" t="s">
        <v>383</v>
      </c>
      <c r="D470" s="61"/>
      <c r="E470" s="61" t="s">
        <v>338</v>
      </c>
      <c r="F470" s="135" t="s">
        <v>22</v>
      </c>
      <c r="G470" s="53">
        <v>4.53</v>
      </c>
      <c r="H470" s="53">
        <v>4.5999999999999996</v>
      </c>
      <c r="I470" s="61">
        <v>152</v>
      </c>
      <c r="J470" s="146"/>
      <c r="K470" s="134"/>
      <c r="L470" s="66"/>
      <c r="M470" s="66"/>
      <c r="N470" s="66"/>
    </row>
    <row r="471" spans="1:14">
      <c r="A471" s="131">
        <v>45844</v>
      </c>
      <c r="B471" s="55" t="s">
        <v>68</v>
      </c>
      <c r="C471" s="136" t="s">
        <v>409</v>
      </c>
      <c r="D471" s="55"/>
      <c r="E471" s="55" t="s">
        <v>313</v>
      </c>
      <c r="F471" s="136" t="s">
        <v>187</v>
      </c>
      <c r="G471" s="64">
        <v>4.46</v>
      </c>
      <c r="H471" s="147">
        <v>4.5599999999999996</v>
      </c>
      <c r="I471" s="55">
        <v>50</v>
      </c>
      <c r="J471" s="120"/>
      <c r="K471" s="134"/>
      <c r="L471" s="66"/>
      <c r="M471" s="66"/>
      <c r="N471" s="66"/>
    </row>
    <row r="472" spans="1:14">
      <c r="A472" s="131">
        <v>45844</v>
      </c>
      <c r="B472" s="32" t="s">
        <v>132</v>
      </c>
      <c r="C472" s="135" t="s">
        <v>295</v>
      </c>
      <c r="D472" s="61"/>
      <c r="E472" s="61" t="s">
        <v>410</v>
      </c>
      <c r="F472" s="135" t="s">
        <v>22</v>
      </c>
      <c r="G472" s="140">
        <v>4.1399999999999997</v>
      </c>
      <c r="H472" s="140">
        <v>4.17</v>
      </c>
      <c r="I472" s="61">
        <v>56</v>
      </c>
      <c r="J472" s="146"/>
      <c r="K472" s="134"/>
      <c r="L472" s="66"/>
      <c r="M472" s="66"/>
      <c r="N472" s="66"/>
    </row>
    <row r="473" spans="1:14">
      <c r="A473" s="131">
        <v>45843</v>
      </c>
      <c r="B473" s="136" t="s">
        <v>349</v>
      </c>
      <c r="C473" s="136" t="s">
        <v>387</v>
      </c>
      <c r="D473" s="55"/>
      <c r="E473" s="55" t="s">
        <v>338</v>
      </c>
      <c r="F473" s="136" t="s">
        <v>22</v>
      </c>
      <c r="G473" s="64">
        <v>4.74</v>
      </c>
      <c r="H473" s="147">
        <v>4.7699999999999996</v>
      </c>
      <c r="I473" s="55">
        <v>127</v>
      </c>
      <c r="J473" s="120"/>
      <c r="K473" s="134"/>
      <c r="L473" s="66"/>
      <c r="M473" s="66"/>
      <c r="N473" s="66"/>
    </row>
    <row r="474" spans="1:14">
      <c r="A474" s="131">
        <v>45843</v>
      </c>
      <c r="B474" s="81" t="s">
        <v>33</v>
      </c>
      <c r="C474" s="135" t="s">
        <v>212</v>
      </c>
      <c r="D474" s="61"/>
      <c r="E474" s="61" t="s">
        <v>405</v>
      </c>
      <c r="F474" s="135" t="s">
        <v>22</v>
      </c>
      <c r="G474" s="140">
        <v>4.6399999999999997</v>
      </c>
      <c r="H474" s="148">
        <v>4.7</v>
      </c>
      <c r="I474" s="61">
        <v>92</v>
      </c>
      <c r="J474" s="146"/>
      <c r="K474" s="134"/>
      <c r="L474" s="66"/>
      <c r="M474" s="66"/>
      <c r="N474" s="66"/>
    </row>
    <row r="475" spans="1:14">
      <c r="A475" s="131">
        <v>45843</v>
      </c>
      <c r="B475" s="55" t="s">
        <v>81</v>
      </c>
      <c r="C475" s="136" t="s">
        <v>114</v>
      </c>
      <c r="D475" s="55"/>
      <c r="E475" s="55" t="s">
        <v>397</v>
      </c>
      <c r="F475" s="136" t="s">
        <v>22</v>
      </c>
      <c r="G475" s="64">
        <v>4.59</v>
      </c>
      <c r="H475" s="147">
        <v>4.68</v>
      </c>
      <c r="I475" s="55">
        <v>54</v>
      </c>
      <c r="J475" s="120"/>
      <c r="K475" s="134"/>
      <c r="L475" s="66"/>
      <c r="M475" s="66"/>
      <c r="N475" s="66"/>
    </row>
    <row r="476" spans="1:14">
      <c r="A476" s="131">
        <v>45843</v>
      </c>
      <c r="B476" s="61" t="s">
        <v>68</v>
      </c>
      <c r="C476" s="135" t="s">
        <v>398</v>
      </c>
      <c r="D476" s="61"/>
      <c r="E476" s="61" t="s">
        <v>313</v>
      </c>
      <c r="F476" s="135" t="s">
        <v>22</v>
      </c>
      <c r="G476" s="140">
        <v>4.5199999999999996</v>
      </c>
      <c r="H476" s="148">
        <v>4.5999999999999996</v>
      </c>
      <c r="I476" s="61">
        <v>19</v>
      </c>
      <c r="J476" s="146"/>
      <c r="K476" s="134"/>
      <c r="L476" s="66"/>
      <c r="M476" s="66"/>
      <c r="N476" s="66"/>
    </row>
    <row r="477" spans="1:14">
      <c r="A477" s="131">
        <v>45843</v>
      </c>
      <c r="B477" s="55" t="s">
        <v>297</v>
      </c>
      <c r="C477" s="136" t="s">
        <v>358</v>
      </c>
      <c r="D477" s="55"/>
      <c r="E477" s="55" t="s">
        <v>411</v>
      </c>
      <c r="F477" s="136" t="s">
        <v>22</v>
      </c>
      <c r="G477" s="64">
        <v>4.4000000000000004</v>
      </c>
      <c r="H477" s="147">
        <v>4.7</v>
      </c>
      <c r="I477" s="55">
        <v>105</v>
      </c>
      <c r="J477" s="120"/>
      <c r="K477" s="134"/>
      <c r="L477" s="66"/>
      <c r="M477" s="66"/>
      <c r="N477" s="66"/>
    </row>
    <row r="478" spans="1:14">
      <c r="A478" s="131">
        <v>45843</v>
      </c>
      <c r="B478" s="32" t="s">
        <v>132</v>
      </c>
      <c r="C478" s="135" t="s">
        <v>412</v>
      </c>
      <c r="D478" s="61"/>
      <c r="E478" s="61" t="s">
        <v>410</v>
      </c>
      <c r="F478" s="135" t="s">
        <v>22</v>
      </c>
      <c r="G478" s="140">
        <v>3.31</v>
      </c>
      <c r="H478" s="148">
        <v>3.4</v>
      </c>
      <c r="I478" s="61">
        <v>69</v>
      </c>
      <c r="J478" s="146"/>
      <c r="K478" s="134"/>
      <c r="L478" s="66"/>
      <c r="M478" s="66"/>
      <c r="N478" s="66"/>
    </row>
    <row r="479" spans="1:14">
      <c r="A479" s="131">
        <v>45837</v>
      </c>
      <c r="B479" s="77" t="s">
        <v>33</v>
      </c>
      <c r="C479" s="144" t="s">
        <v>408</v>
      </c>
      <c r="D479" s="77"/>
      <c r="E479" s="77" t="s">
        <v>405</v>
      </c>
      <c r="F479" s="136" t="s">
        <v>22</v>
      </c>
      <c r="G479" s="64">
        <v>4.75</v>
      </c>
      <c r="H479" s="147">
        <v>4.7699999999999996</v>
      </c>
      <c r="I479" s="55">
        <v>98</v>
      </c>
      <c r="J479" s="120"/>
      <c r="K479" s="134"/>
      <c r="L479" s="66"/>
      <c r="M479" s="66"/>
      <c r="N479" s="66"/>
    </row>
    <row r="480" spans="1:14">
      <c r="A480" s="131">
        <v>45837</v>
      </c>
      <c r="B480" s="135" t="s">
        <v>333</v>
      </c>
      <c r="C480" s="139" t="s">
        <v>343</v>
      </c>
      <c r="D480" s="81"/>
      <c r="E480" s="81" t="s">
        <v>338</v>
      </c>
      <c r="F480" s="135" t="s">
        <v>22</v>
      </c>
      <c r="G480" s="53">
        <v>4.67</v>
      </c>
      <c r="H480" s="93">
        <v>4.74</v>
      </c>
      <c r="I480" s="61">
        <v>371</v>
      </c>
      <c r="J480" s="146"/>
      <c r="K480" s="134"/>
      <c r="L480" s="66"/>
      <c r="M480" s="66"/>
      <c r="N480" s="66"/>
    </row>
    <row r="481" spans="1:14">
      <c r="A481" s="131">
        <v>45837</v>
      </c>
      <c r="B481" s="77" t="s">
        <v>33</v>
      </c>
      <c r="C481" s="144" t="s">
        <v>357</v>
      </c>
      <c r="D481" s="77"/>
      <c r="E481" s="77" t="s">
        <v>397</v>
      </c>
      <c r="F481" s="136" t="s">
        <v>22</v>
      </c>
      <c r="G481" s="64">
        <v>4.6500000000000004</v>
      </c>
      <c r="H481" s="147">
        <v>4.7</v>
      </c>
      <c r="I481" s="55">
        <v>44</v>
      </c>
      <c r="J481" s="120"/>
      <c r="K481" s="134"/>
      <c r="L481" s="66"/>
      <c r="M481" s="66"/>
      <c r="N481" s="66"/>
    </row>
    <row r="482" spans="1:14">
      <c r="A482" s="131">
        <v>45837</v>
      </c>
      <c r="B482" s="32" t="s">
        <v>132</v>
      </c>
      <c r="C482" s="139" t="s">
        <v>295</v>
      </c>
      <c r="D482" s="81"/>
      <c r="E482" s="81" t="s">
        <v>413</v>
      </c>
      <c r="F482" s="135" t="s">
        <v>22</v>
      </c>
      <c r="G482" s="140">
        <v>4.625</v>
      </c>
      <c r="H482" s="148">
        <v>4.58</v>
      </c>
      <c r="I482" s="61">
        <v>56</v>
      </c>
      <c r="J482" s="146"/>
      <c r="K482" s="134"/>
      <c r="L482" s="66"/>
      <c r="M482" s="66"/>
      <c r="N482" s="66"/>
    </row>
    <row r="483" spans="1:14">
      <c r="A483" s="131">
        <v>45837</v>
      </c>
      <c r="B483" s="55" t="s">
        <v>297</v>
      </c>
      <c r="C483" s="144" t="s">
        <v>358</v>
      </c>
      <c r="D483" s="77"/>
      <c r="E483" s="77" t="s">
        <v>414</v>
      </c>
      <c r="F483" s="136" t="s">
        <v>22</v>
      </c>
      <c r="G483" s="64">
        <v>4.5599999999999996</v>
      </c>
      <c r="H483" s="147">
        <v>4.66</v>
      </c>
      <c r="I483" s="55">
        <v>145</v>
      </c>
      <c r="J483" s="120"/>
      <c r="K483" s="134"/>
      <c r="L483" s="66"/>
      <c r="M483" s="66"/>
      <c r="N483" s="66"/>
    </row>
    <row r="484" spans="1:14">
      <c r="A484" s="131">
        <v>45837</v>
      </c>
      <c r="B484" s="139" t="s">
        <v>349</v>
      </c>
      <c r="C484" s="135" t="s">
        <v>407</v>
      </c>
      <c r="D484" s="81"/>
      <c r="E484" s="81" t="s">
        <v>411</v>
      </c>
      <c r="F484" s="135" t="s">
        <v>22</v>
      </c>
      <c r="G484" s="140">
        <v>4.25</v>
      </c>
      <c r="H484" s="148">
        <v>4.4400000000000004</v>
      </c>
      <c r="I484" s="61">
        <v>58</v>
      </c>
      <c r="J484" s="146"/>
      <c r="K484" s="134"/>
      <c r="L484" s="66"/>
      <c r="M484" s="66"/>
      <c r="N484" s="66"/>
    </row>
    <row r="485" spans="1:14">
      <c r="A485" s="131">
        <v>45837</v>
      </c>
      <c r="B485" s="37" t="s">
        <v>132</v>
      </c>
      <c r="C485" s="144" t="s">
        <v>415</v>
      </c>
      <c r="D485" s="77"/>
      <c r="E485" s="77" t="s">
        <v>410</v>
      </c>
      <c r="F485" s="136" t="s">
        <v>22</v>
      </c>
      <c r="G485" s="64">
        <v>2.86</v>
      </c>
      <c r="H485" s="147">
        <v>2.93</v>
      </c>
      <c r="I485" s="55">
        <v>15</v>
      </c>
      <c r="J485" s="120"/>
      <c r="K485" s="134"/>
      <c r="L485" s="66"/>
      <c r="M485" s="66"/>
      <c r="N485" s="66"/>
    </row>
    <row r="486" spans="1:14">
      <c r="A486" s="131">
        <v>45836</v>
      </c>
      <c r="B486" s="139" t="s">
        <v>349</v>
      </c>
      <c r="C486" s="139" t="s">
        <v>394</v>
      </c>
      <c r="D486" s="81"/>
      <c r="E486" s="81" t="s">
        <v>411</v>
      </c>
      <c r="F486" s="135" t="s">
        <v>22</v>
      </c>
      <c r="G486" s="140">
        <v>4.78</v>
      </c>
      <c r="H486" s="148">
        <v>4.8600000000000003</v>
      </c>
      <c r="I486" s="61">
        <v>37</v>
      </c>
      <c r="J486" s="146"/>
      <c r="K486" s="134"/>
      <c r="L486" s="66"/>
      <c r="M486" s="66"/>
      <c r="N486" s="66"/>
    </row>
    <row r="487" spans="1:14">
      <c r="A487" s="131">
        <v>45836</v>
      </c>
      <c r="B487" s="77" t="s">
        <v>33</v>
      </c>
      <c r="C487" s="144" t="s">
        <v>416</v>
      </c>
      <c r="D487" s="77"/>
      <c r="E487" s="77" t="s">
        <v>410</v>
      </c>
      <c r="F487" s="136" t="s">
        <v>187</v>
      </c>
      <c r="G487" s="64">
        <v>4.7</v>
      </c>
      <c r="H487" s="147">
        <v>4.8499999999999996</v>
      </c>
      <c r="I487" s="55">
        <v>27</v>
      </c>
      <c r="J487" s="120"/>
      <c r="K487" s="134"/>
      <c r="L487" s="66"/>
      <c r="M487" s="66"/>
      <c r="N487" s="66"/>
    </row>
    <row r="488" spans="1:14">
      <c r="A488" s="131">
        <v>45836</v>
      </c>
      <c r="B488" s="81" t="s">
        <v>33</v>
      </c>
      <c r="C488" s="139" t="s">
        <v>363</v>
      </c>
      <c r="D488" s="81"/>
      <c r="E488" s="81" t="s">
        <v>397</v>
      </c>
      <c r="F488" s="135" t="s">
        <v>22</v>
      </c>
      <c r="G488" s="140">
        <v>4.5999999999999996</v>
      </c>
      <c r="H488" s="148">
        <v>4.7</v>
      </c>
      <c r="I488" s="61">
        <v>77</v>
      </c>
      <c r="J488" s="146"/>
      <c r="K488" s="134"/>
      <c r="L488" s="66"/>
      <c r="M488" s="66"/>
      <c r="N488" s="66"/>
    </row>
    <row r="489" spans="1:14">
      <c r="A489" s="131">
        <v>45836</v>
      </c>
      <c r="B489" s="55" t="s">
        <v>81</v>
      </c>
      <c r="C489" s="144" t="s">
        <v>102</v>
      </c>
      <c r="D489" s="77"/>
      <c r="E489" s="77" t="s">
        <v>405</v>
      </c>
      <c r="F489" s="136" t="s">
        <v>22</v>
      </c>
      <c r="G489" s="64">
        <v>4.55</v>
      </c>
      <c r="H489" s="147">
        <v>4.6900000000000004</v>
      </c>
      <c r="I489" s="55">
        <v>49</v>
      </c>
      <c r="J489" s="120"/>
      <c r="K489" s="134"/>
      <c r="L489" s="66"/>
      <c r="M489" s="66"/>
      <c r="N489" s="66"/>
    </row>
    <row r="490" spans="1:14">
      <c r="A490" s="131">
        <v>45836</v>
      </c>
      <c r="B490" s="139" t="s">
        <v>349</v>
      </c>
      <c r="C490" s="139" t="s">
        <v>350</v>
      </c>
      <c r="D490" s="81"/>
      <c r="E490" s="81" t="s">
        <v>338</v>
      </c>
      <c r="F490" s="135" t="s">
        <v>22</v>
      </c>
      <c r="G490" s="140">
        <v>4.45</v>
      </c>
      <c r="H490" s="148">
        <v>4.625</v>
      </c>
      <c r="I490" s="61">
        <v>160</v>
      </c>
      <c r="J490" s="146"/>
      <c r="K490" s="134"/>
      <c r="L490" s="66"/>
      <c r="M490" s="66"/>
      <c r="N490" s="66"/>
    </row>
    <row r="491" spans="1:14">
      <c r="A491" s="131">
        <v>45836</v>
      </c>
      <c r="B491" s="144" t="s">
        <v>372</v>
      </c>
      <c r="C491" s="144" t="s">
        <v>417</v>
      </c>
      <c r="D491" s="77"/>
      <c r="E491" s="77" t="s">
        <v>313</v>
      </c>
      <c r="F491" s="136" t="s">
        <v>187</v>
      </c>
      <c r="G491" s="64">
        <v>4.32</v>
      </c>
      <c r="H491" s="147">
        <v>4.5</v>
      </c>
      <c r="I491" s="55">
        <v>28</v>
      </c>
      <c r="J491" s="120"/>
      <c r="K491" s="134"/>
      <c r="L491" s="66"/>
      <c r="M491" s="66"/>
      <c r="N491" s="66"/>
    </row>
    <row r="492" spans="1:14">
      <c r="A492" s="131">
        <v>45836</v>
      </c>
      <c r="B492" s="139" t="s">
        <v>349</v>
      </c>
      <c r="C492" s="135" t="s">
        <v>407</v>
      </c>
      <c r="D492" s="81"/>
      <c r="E492" s="81" t="s">
        <v>414</v>
      </c>
      <c r="F492" s="135" t="s">
        <v>22</v>
      </c>
      <c r="G492" s="140">
        <v>4.12</v>
      </c>
      <c r="H492" s="148">
        <v>4.3600000000000003</v>
      </c>
      <c r="I492" s="61">
        <v>74</v>
      </c>
      <c r="J492" s="146"/>
      <c r="K492" s="134"/>
      <c r="L492" s="66"/>
      <c r="M492" s="66"/>
      <c r="N492" s="66"/>
    </row>
    <row r="493" spans="1:14">
      <c r="A493" s="131">
        <v>45836</v>
      </c>
      <c r="B493" s="37" t="s">
        <v>132</v>
      </c>
      <c r="C493" s="144" t="s">
        <v>418</v>
      </c>
      <c r="D493" s="77"/>
      <c r="E493" s="77" t="s">
        <v>419</v>
      </c>
      <c r="F493" s="136" t="s">
        <v>22</v>
      </c>
      <c r="G493" s="64">
        <v>3.85</v>
      </c>
      <c r="H493" s="147">
        <v>4.0999999999999996</v>
      </c>
      <c r="I493" s="55">
        <v>20</v>
      </c>
      <c r="J493" s="120"/>
      <c r="K493" s="134"/>
      <c r="L493" s="66"/>
      <c r="M493" s="66"/>
      <c r="N493" s="66"/>
    </row>
    <row r="494" spans="1:14" ht="15.75" customHeight="1">
      <c r="B494" s="66"/>
      <c r="J494" s="66"/>
      <c r="K494" s="134"/>
      <c r="L494" s="66"/>
      <c r="M494" s="66"/>
      <c r="N494" s="66"/>
    </row>
    <row r="495" spans="1:14" ht="15.75" customHeight="1">
      <c r="B495" s="66"/>
      <c r="J495" s="66"/>
      <c r="K495" s="134"/>
      <c r="L495" s="66"/>
      <c r="M495" s="66"/>
      <c r="N495" s="66"/>
    </row>
    <row r="496" spans="1:14" ht="15.75" customHeight="1">
      <c r="B496" s="66"/>
      <c r="J496" s="66"/>
      <c r="K496" s="134"/>
      <c r="L496" s="66"/>
      <c r="M496" s="66"/>
      <c r="N496" s="66"/>
    </row>
    <row r="497" spans="2:14" ht="15.75" customHeight="1">
      <c r="B497" s="66"/>
      <c r="J497" s="66"/>
      <c r="K497" s="134"/>
      <c r="L497" s="66"/>
      <c r="M497" s="66"/>
      <c r="N497" s="66"/>
    </row>
    <row r="498" spans="2:14" ht="15.75" customHeight="1">
      <c r="B498" s="66"/>
      <c r="D498" s="149"/>
      <c r="E498" s="149"/>
      <c r="J498" s="66"/>
      <c r="K498" s="134"/>
      <c r="L498" s="66"/>
      <c r="M498" s="66"/>
      <c r="N498" s="66"/>
    </row>
    <row r="499" spans="2:14" ht="15.75" customHeight="1">
      <c r="B499" s="66"/>
      <c r="J499" s="66"/>
      <c r="K499" s="134"/>
      <c r="L499" s="66"/>
      <c r="M499" s="66"/>
      <c r="N499" s="66"/>
    </row>
    <row r="500" spans="2:14" ht="15.75" customHeight="1">
      <c r="B500" s="66"/>
      <c r="J500" s="66"/>
      <c r="K500" s="134"/>
      <c r="L500" s="66"/>
      <c r="M500" s="66"/>
      <c r="N500" s="66"/>
    </row>
    <row r="501" spans="2:14" ht="15.75" customHeight="1">
      <c r="B501" s="66"/>
      <c r="J501" s="66"/>
      <c r="K501" s="134"/>
      <c r="L501" s="66"/>
      <c r="M501" s="66"/>
      <c r="N501" s="66"/>
    </row>
    <row r="502" spans="2:14" ht="15.75" customHeight="1">
      <c r="B502" s="66"/>
      <c r="J502" s="66"/>
      <c r="K502" s="134"/>
      <c r="L502" s="66"/>
      <c r="M502" s="66"/>
      <c r="N502" s="66"/>
    </row>
    <row r="503" spans="2:14" ht="15.75" customHeight="1">
      <c r="B503" s="66"/>
      <c r="J503" s="66"/>
      <c r="K503" s="134"/>
      <c r="L503" s="66"/>
      <c r="M503" s="66"/>
      <c r="N503" s="66"/>
    </row>
    <row r="504" spans="2:14" ht="15.75" customHeight="1">
      <c r="B504" s="66"/>
      <c r="J504" s="66"/>
      <c r="K504" s="134"/>
      <c r="L504" s="66"/>
      <c r="M504" s="66"/>
      <c r="N504" s="66"/>
    </row>
    <row r="505" spans="2:14" ht="15.75" customHeight="1">
      <c r="B505" s="66"/>
      <c r="J505" s="66"/>
      <c r="K505" s="134"/>
      <c r="L505" s="66"/>
      <c r="M505" s="66"/>
      <c r="N505" s="66"/>
    </row>
    <row r="506" spans="2:14" ht="15.75" customHeight="1">
      <c r="B506" s="66"/>
      <c r="J506" s="66"/>
      <c r="K506" s="134"/>
      <c r="L506" s="66"/>
      <c r="M506" s="66"/>
      <c r="N506" s="66"/>
    </row>
    <row r="507" spans="2:14" ht="15.75" customHeight="1">
      <c r="B507" s="66"/>
      <c r="J507" s="66"/>
      <c r="K507" s="134"/>
      <c r="L507" s="66"/>
      <c r="M507" s="66"/>
      <c r="N507" s="66"/>
    </row>
    <row r="508" spans="2:14" ht="15.75" customHeight="1">
      <c r="B508" s="66"/>
      <c r="J508" s="66"/>
      <c r="K508" s="134"/>
      <c r="L508" s="66"/>
      <c r="M508" s="66"/>
      <c r="N508" s="66"/>
    </row>
    <row r="509" spans="2:14" ht="15.75" customHeight="1">
      <c r="B509" s="66"/>
      <c r="J509" s="66"/>
      <c r="K509" s="134"/>
      <c r="L509" s="66"/>
      <c r="M509" s="66"/>
      <c r="N509" s="66"/>
    </row>
    <row r="510" spans="2:14" ht="15.75" customHeight="1">
      <c r="B510" s="66"/>
      <c r="J510" s="66"/>
      <c r="K510" s="134"/>
      <c r="L510" s="66"/>
      <c r="M510" s="66"/>
      <c r="N510" s="66"/>
    </row>
    <row r="511" spans="2:14" ht="15.75" customHeight="1">
      <c r="B511" s="66"/>
      <c r="J511" s="66"/>
      <c r="K511" s="134"/>
      <c r="L511" s="66"/>
      <c r="M511" s="66"/>
      <c r="N511" s="66"/>
    </row>
    <row r="512" spans="2:14" ht="15.75" customHeight="1">
      <c r="B512" s="66"/>
      <c r="J512" s="66"/>
      <c r="K512" s="134"/>
      <c r="L512" s="66"/>
      <c r="M512" s="66"/>
      <c r="N512" s="66"/>
    </row>
    <row r="513" spans="2:14" ht="15.75" customHeight="1">
      <c r="B513" s="66"/>
      <c r="J513" s="66"/>
      <c r="K513" s="134"/>
      <c r="L513" s="66"/>
      <c r="M513" s="66"/>
      <c r="N513" s="66"/>
    </row>
    <row r="514" spans="2:14" ht="15.75" customHeight="1">
      <c r="B514" s="66"/>
      <c r="J514" s="66"/>
      <c r="K514" s="134"/>
      <c r="L514" s="66"/>
      <c r="M514" s="66"/>
      <c r="N514" s="66"/>
    </row>
    <row r="515" spans="2:14" ht="15.75" customHeight="1">
      <c r="B515" s="66"/>
      <c r="J515" s="66"/>
      <c r="K515" s="134"/>
      <c r="L515" s="66"/>
      <c r="M515" s="66"/>
      <c r="N515" s="66"/>
    </row>
    <row r="516" spans="2:14" ht="15.75" customHeight="1">
      <c r="B516" s="66"/>
      <c r="J516" s="66"/>
      <c r="K516" s="134"/>
      <c r="L516" s="66"/>
      <c r="M516" s="66"/>
      <c r="N516" s="66"/>
    </row>
    <row r="517" spans="2:14" ht="15.75" customHeight="1">
      <c r="B517" s="66"/>
      <c r="J517" s="66"/>
      <c r="K517" s="134"/>
      <c r="L517" s="66"/>
      <c r="M517" s="66"/>
      <c r="N517" s="66"/>
    </row>
    <row r="518" spans="2:14" ht="15.75" customHeight="1">
      <c r="B518" s="66"/>
      <c r="J518" s="66"/>
      <c r="K518" s="134"/>
      <c r="L518" s="66"/>
      <c r="M518" s="66"/>
      <c r="N518" s="66"/>
    </row>
    <row r="519" spans="2:14" ht="15.75" customHeight="1">
      <c r="B519" s="66"/>
      <c r="J519" s="66"/>
      <c r="K519" s="134"/>
      <c r="L519" s="66"/>
      <c r="M519" s="66"/>
      <c r="N519" s="66"/>
    </row>
    <row r="520" spans="2:14" ht="15.75" customHeight="1">
      <c r="B520" s="66"/>
      <c r="J520" s="66"/>
      <c r="K520" s="134"/>
      <c r="L520" s="66"/>
      <c r="M520" s="66"/>
      <c r="N520" s="66"/>
    </row>
    <row r="521" spans="2:14" ht="15.75" customHeight="1">
      <c r="B521" s="66"/>
      <c r="J521" s="66"/>
      <c r="K521" s="134"/>
      <c r="L521" s="66"/>
      <c r="M521" s="66"/>
      <c r="N521" s="66"/>
    </row>
    <row r="522" spans="2:14" ht="15.75" customHeight="1">
      <c r="B522" s="66"/>
      <c r="J522" s="66"/>
      <c r="K522" s="134"/>
      <c r="L522" s="66"/>
      <c r="M522" s="66"/>
      <c r="N522" s="66"/>
    </row>
    <row r="523" spans="2:14" ht="15.75" customHeight="1">
      <c r="B523" s="66"/>
      <c r="J523" s="66"/>
      <c r="K523" s="134"/>
      <c r="L523" s="66"/>
      <c r="M523" s="66"/>
      <c r="N523" s="66"/>
    </row>
    <row r="524" spans="2:14" ht="15.75" customHeight="1">
      <c r="B524" s="66"/>
      <c r="J524" s="66"/>
      <c r="K524" s="134"/>
      <c r="L524" s="66"/>
      <c r="M524" s="66"/>
      <c r="N524" s="66"/>
    </row>
    <row r="525" spans="2:14" ht="15.75" customHeight="1">
      <c r="B525" s="66"/>
      <c r="J525" s="66"/>
      <c r="K525" s="134"/>
      <c r="L525" s="66"/>
      <c r="M525" s="66"/>
      <c r="N525" s="66"/>
    </row>
    <row r="526" spans="2:14" ht="15.75" customHeight="1">
      <c r="B526" s="66"/>
      <c r="J526" s="66"/>
      <c r="K526" s="134"/>
      <c r="L526" s="66"/>
      <c r="M526" s="66"/>
      <c r="N526" s="66"/>
    </row>
    <row r="527" spans="2:14" ht="15.75" customHeight="1">
      <c r="B527" s="66"/>
      <c r="J527" s="66"/>
      <c r="K527" s="134"/>
      <c r="L527" s="66"/>
      <c r="M527" s="66"/>
      <c r="N527" s="66"/>
    </row>
    <row r="528" spans="2:14" ht="15.75" customHeight="1">
      <c r="B528" s="66"/>
      <c r="J528" s="66"/>
      <c r="K528" s="134"/>
      <c r="L528" s="66"/>
      <c r="M528" s="66"/>
      <c r="N528" s="66"/>
    </row>
    <row r="529" spans="2:14" ht="15.75" customHeight="1">
      <c r="B529" s="66"/>
      <c r="J529" s="66"/>
      <c r="K529" s="134"/>
      <c r="L529" s="66"/>
      <c r="M529" s="66"/>
      <c r="N529" s="66"/>
    </row>
    <row r="530" spans="2:14" ht="15.75" customHeight="1">
      <c r="B530" s="66"/>
      <c r="J530" s="66"/>
      <c r="K530" s="134"/>
      <c r="L530" s="66"/>
      <c r="M530" s="66"/>
      <c r="N530" s="66"/>
    </row>
    <row r="531" spans="2:14" ht="15.75" customHeight="1">
      <c r="B531" s="66"/>
      <c r="J531" s="66"/>
      <c r="K531" s="134"/>
      <c r="L531" s="66"/>
      <c r="M531" s="66"/>
      <c r="N531" s="66"/>
    </row>
    <row r="532" spans="2:14" ht="15.75" customHeight="1">
      <c r="B532" s="66"/>
      <c r="J532" s="66"/>
      <c r="K532" s="134"/>
      <c r="L532" s="66"/>
      <c r="M532" s="66"/>
      <c r="N532" s="66"/>
    </row>
    <row r="533" spans="2:14" ht="15.75" customHeight="1">
      <c r="B533" s="66"/>
      <c r="J533" s="66"/>
      <c r="K533" s="134"/>
      <c r="L533" s="66"/>
      <c r="M533" s="66"/>
      <c r="N533" s="66"/>
    </row>
    <row r="534" spans="2:14" ht="15.75" customHeight="1">
      <c r="B534" s="66"/>
      <c r="J534" s="66"/>
      <c r="K534" s="134"/>
      <c r="L534" s="66"/>
      <c r="M534" s="66"/>
      <c r="N534" s="66"/>
    </row>
    <row r="535" spans="2:14" ht="15.75" customHeight="1">
      <c r="B535" s="66"/>
      <c r="J535" s="66"/>
      <c r="K535" s="134"/>
      <c r="L535" s="66"/>
      <c r="M535" s="66"/>
      <c r="N535" s="66"/>
    </row>
    <row r="536" spans="2:14" ht="15.75" customHeight="1">
      <c r="B536" s="66"/>
      <c r="J536" s="66"/>
      <c r="K536" s="134"/>
      <c r="L536" s="66"/>
      <c r="M536" s="66"/>
      <c r="N536" s="66"/>
    </row>
    <row r="537" spans="2:14" ht="15.75" customHeight="1">
      <c r="B537" s="66"/>
      <c r="J537" s="66"/>
      <c r="K537" s="134"/>
      <c r="L537" s="66"/>
      <c r="M537" s="66"/>
      <c r="N537" s="66"/>
    </row>
    <row r="538" spans="2:14" ht="15.75" customHeight="1">
      <c r="B538" s="66"/>
      <c r="J538" s="66"/>
      <c r="K538" s="134"/>
      <c r="L538" s="66"/>
      <c r="M538" s="66"/>
      <c r="N538" s="66"/>
    </row>
    <row r="539" spans="2:14" ht="15.75" customHeight="1">
      <c r="B539" s="66"/>
      <c r="J539" s="66"/>
      <c r="K539" s="134"/>
      <c r="L539" s="66"/>
      <c r="M539" s="66"/>
      <c r="N539" s="66"/>
    </row>
    <row r="540" spans="2:14" ht="15.75" customHeight="1">
      <c r="B540" s="66"/>
      <c r="J540" s="66"/>
      <c r="K540" s="134"/>
      <c r="L540" s="66"/>
      <c r="M540" s="66"/>
      <c r="N540" s="66"/>
    </row>
    <row r="541" spans="2:14" ht="15.75" customHeight="1">
      <c r="B541" s="66"/>
      <c r="J541" s="66"/>
      <c r="K541" s="134"/>
      <c r="L541" s="66"/>
      <c r="M541" s="66"/>
      <c r="N541" s="66"/>
    </row>
    <row r="542" spans="2:14" ht="15.75" customHeight="1">
      <c r="B542" s="66"/>
      <c r="J542" s="66"/>
      <c r="K542" s="134"/>
      <c r="L542" s="66"/>
      <c r="M542" s="66"/>
      <c r="N542" s="66"/>
    </row>
    <row r="543" spans="2:14" ht="15.75" customHeight="1">
      <c r="B543" s="66"/>
      <c r="J543" s="66"/>
      <c r="K543" s="134"/>
      <c r="L543" s="66"/>
      <c r="M543" s="66"/>
      <c r="N543" s="66"/>
    </row>
    <row r="544" spans="2:14" ht="15.75" customHeight="1">
      <c r="B544" s="66"/>
      <c r="J544" s="66"/>
      <c r="K544" s="134"/>
      <c r="L544" s="66"/>
      <c r="M544" s="66"/>
      <c r="N544" s="66"/>
    </row>
    <row r="545" spans="2:14" ht="15.75" customHeight="1">
      <c r="B545" s="66"/>
      <c r="J545" s="66"/>
      <c r="K545" s="134"/>
      <c r="L545" s="66"/>
      <c r="M545" s="66"/>
      <c r="N545" s="66"/>
    </row>
    <row r="546" spans="2:14" ht="15.75" customHeight="1">
      <c r="B546" s="66"/>
      <c r="J546" s="66"/>
      <c r="K546" s="134"/>
      <c r="L546" s="66"/>
      <c r="M546" s="66"/>
      <c r="N546" s="66"/>
    </row>
    <row r="547" spans="2:14" ht="15.75" customHeight="1">
      <c r="B547" s="66"/>
      <c r="J547" s="66"/>
      <c r="K547" s="134"/>
      <c r="L547" s="66"/>
      <c r="M547" s="66"/>
      <c r="N547" s="66"/>
    </row>
    <row r="548" spans="2:14" ht="15.75" customHeight="1">
      <c r="B548" s="66"/>
      <c r="J548" s="66"/>
      <c r="K548" s="134"/>
      <c r="L548" s="66"/>
      <c r="M548" s="66"/>
      <c r="N548" s="66"/>
    </row>
    <row r="549" spans="2:14" ht="15.75" customHeight="1">
      <c r="B549" s="66"/>
      <c r="J549" s="66"/>
      <c r="K549" s="134"/>
      <c r="L549" s="66"/>
      <c r="M549" s="66"/>
      <c r="N549" s="66"/>
    </row>
    <row r="550" spans="2:14" ht="15.75" customHeight="1">
      <c r="B550" s="66"/>
      <c r="J550" s="66"/>
      <c r="K550" s="134"/>
      <c r="L550" s="66"/>
      <c r="M550" s="66"/>
      <c r="N550" s="66"/>
    </row>
    <row r="551" spans="2:14" ht="15.75" customHeight="1">
      <c r="B551" s="66"/>
      <c r="J551" s="66"/>
      <c r="K551" s="134"/>
      <c r="L551" s="66"/>
      <c r="M551" s="66"/>
      <c r="N551" s="66"/>
    </row>
    <row r="552" spans="2:14" ht="15.75" customHeight="1">
      <c r="B552" s="66"/>
      <c r="J552" s="66"/>
      <c r="K552" s="134"/>
      <c r="L552" s="66"/>
      <c r="M552" s="66"/>
      <c r="N552" s="66"/>
    </row>
    <row r="553" spans="2:14" ht="15.75" customHeight="1">
      <c r="B553" s="66"/>
      <c r="J553" s="66"/>
      <c r="K553" s="134"/>
      <c r="L553" s="66"/>
      <c r="M553" s="66"/>
      <c r="N553" s="66"/>
    </row>
    <row r="554" spans="2:14" ht="15.75" customHeight="1">
      <c r="B554" s="66"/>
      <c r="J554" s="66"/>
      <c r="K554" s="134"/>
      <c r="L554" s="66"/>
      <c r="M554" s="66"/>
      <c r="N554" s="66"/>
    </row>
    <row r="555" spans="2:14" ht="15.75" customHeight="1">
      <c r="B555" s="66"/>
      <c r="J555" s="66"/>
      <c r="K555" s="134"/>
      <c r="L555" s="66"/>
      <c r="M555" s="66"/>
      <c r="N555" s="66"/>
    </row>
    <row r="556" spans="2:14" ht="15.75" customHeight="1">
      <c r="B556" s="66"/>
      <c r="J556" s="66"/>
      <c r="K556" s="134"/>
      <c r="L556" s="66"/>
      <c r="M556" s="66"/>
      <c r="N556" s="66"/>
    </row>
    <row r="557" spans="2:14" ht="15.75" customHeight="1">
      <c r="B557" s="66"/>
      <c r="J557" s="66"/>
      <c r="K557" s="134"/>
      <c r="L557" s="66"/>
      <c r="M557" s="66"/>
      <c r="N557" s="66"/>
    </row>
    <row r="558" spans="2:14" ht="15.75" customHeight="1">
      <c r="B558" s="66"/>
      <c r="J558" s="66"/>
      <c r="K558" s="134"/>
      <c r="L558" s="66"/>
      <c r="M558" s="66"/>
      <c r="N558" s="66"/>
    </row>
    <row r="559" spans="2:14" ht="15.75" customHeight="1">
      <c r="B559" s="66"/>
      <c r="J559" s="66"/>
      <c r="K559" s="134"/>
      <c r="L559" s="66"/>
      <c r="M559" s="66"/>
      <c r="N559" s="66"/>
    </row>
    <row r="560" spans="2:14" ht="15.75" customHeight="1">
      <c r="B560" s="66"/>
      <c r="J560" s="66"/>
      <c r="K560" s="134"/>
      <c r="L560" s="66"/>
      <c r="M560" s="66"/>
      <c r="N560" s="66"/>
    </row>
    <row r="561" spans="2:14" ht="15.75" customHeight="1">
      <c r="B561" s="66"/>
      <c r="J561" s="66"/>
      <c r="K561" s="134"/>
      <c r="L561" s="66"/>
      <c r="M561" s="66"/>
      <c r="N561" s="66"/>
    </row>
    <row r="562" spans="2:14" ht="15.75" customHeight="1">
      <c r="B562" s="66"/>
      <c r="J562" s="66"/>
      <c r="K562" s="134"/>
      <c r="L562" s="66"/>
      <c r="M562" s="66"/>
      <c r="N562" s="66"/>
    </row>
    <row r="563" spans="2:14" ht="15.75" customHeight="1">
      <c r="B563" s="66"/>
      <c r="J563" s="66"/>
      <c r="K563" s="134"/>
      <c r="L563" s="66"/>
      <c r="M563" s="66"/>
      <c r="N563" s="66"/>
    </row>
    <row r="564" spans="2:14" ht="15.75" customHeight="1">
      <c r="B564" s="66"/>
      <c r="J564" s="66"/>
      <c r="K564" s="134"/>
      <c r="L564" s="66"/>
      <c r="M564" s="66"/>
      <c r="N564" s="66"/>
    </row>
    <row r="565" spans="2:14" ht="15.75" customHeight="1">
      <c r="B565" s="66"/>
      <c r="J565" s="66"/>
      <c r="K565" s="134"/>
      <c r="L565" s="66"/>
      <c r="M565" s="66"/>
      <c r="N565" s="66"/>
    </row>
    <row r="566" spans="2:14" ht="15.75" customHeight="1">
      <c r="B566" s="66"/>
      <c r="J566" s="66"/>
      <c r="K566" s="134"/>
      <c r="L566" s="66"/>
      <c r="M566" s="66"/>
      <c r="N566" s="66"/>
    </row>
    <row r="567" spans="2:14" ht="15.75" customHeight="1">
      <c r="B567" s="66"/>
      <c r="J567" s="66"/>
      <c r="K567" s="134"/>
      <c r="L567" s="66"/>
      <c r="M567" s="66"/>
      <c r="N567" s="66"/>
    </row>
    <row r="568" spans="2:14" ht="15.75" customHeight="1">
      <c r="B568" s="66"/>
      <c r="J568" s="66"/>
      <c r="K568" s="134"/>
      <c r="L568" s="66"/>
      <c r="M568" s="66"/>
      <c r="N568" s="66"/>
    </row>
    <row r="569" spans="2:14" ht="15.75" customHeight="1">
      <c r="B569" s="66"/>
      <c r="J569" s="66"/>
      <c r="K569" s="134"/>
      <c r="L569" s="66"/>
      <c r="M569" s="66"/>
      <c r="N569" s="66"/>
    </row>
    <row r="570" spans="2:14" ht="15.75" customHeight="1">
      <c r="B570" s="66"/>
      <c r="J570" s="66"/>
      <c r="K570" s="134"/>
      <c r="L570" s="66"/>
      <c r="M570" s="66"/>
      <c r="N570" s="66"/>
    </row>
    <row r="571" spans="2:14" ht="15.75" customHeight="1">
      <c r="B571" s="66"/>
      <c r="J571" s="66"/>
      <c r="K571" s="134"/>
      <c r="L571" s="66"/>
      <c r="M571" s="66"/>
      <c r="N571" s="66"/>
    </row>
    <row r="572" spans="2:14" ht="15.75" customHeight="1">
      <c r="B572" s="66"/>
      <c r="J572" s="66"/>
      <c r="K572" s="134"/>
      <c r="L572" s="66"/>
      <c r="M572" s="66"/>
      <c r="N572" s="66"/>
    </row>
    <row r="573" spans="2:14" ht="15.75" customHeight="1">
      <c r="B573" s="66"/>
      <c r="J573" s="66"/>
      <c r="K573" s="134"/>
      <c r="L573" s="66"/>
      <c r="M573" s="66"/>
      <c r="N573" s="66"/>
    </row>
    <row r="574" spans="2:14" ht="15.75" customHeight="1">
      <c r="B574" s="66"/>
      <c r="J574" s="66"/>
      <c r="K574" s="134"/>
      <c r="L574" s="66"/>
      <c r="M574" s="66"/>
      <c r="N574" s="66"/>
    </row>
    <row r="575" spans="2:14" ht="15.75" customHeight="1">
      <c r="B575" s="66"/>
      <c r="J575" s="66"/>
      <c r="K575" s="134"/>
      <c r="L575" s="66"/>
      <c r="M575" s="66"/>
      <c r="N575" s="66"/>
    </row>
    <row r="576" spans="2:14" ht="15.75" customHeight="1">
      <c r="B576" s="66"/>
      <c r="J576" s="66"/>
      <c r="K576" s="134"/>
      <c r="L576" s="66"/>
      <c r="M576" s="66"/>
      <c r="N576" s="66"/>
    </row>
    <row r="577" spans="2:14" ht="15.75" customHeight="1">
      <c r="B577" s="66"/>
      <c r="J577" s="66"/>
      <c r="K577" s="134"/>
      <c r="L577" s="66"/>
      <c r="M577" s="66"/>
      <c r="N577" s="66"/>
    </row>
    <row r="578" spans="2:14" ht="15.75" customHeight="1">
      <c r="B578" s="66"/>
      <c r="J578" s="66"/>
      <c r="K578" s="134"/>
      <c r="L578" s="66"/>
      <c r="M578" s="66"/>
      <c r="N578" s="66"/>
    </row>
    <row r="579" spans="2:14" ht="15.75" customHeight="1">
      <c r="B579" s="66"/>
      <c r="J579" s="66"/>
      <c r="K579" s="134"/>
      <c r="L579" s="66"/>
      <c r="M579" s="66"/>
      <c r="N579" s="66"/>
    </row>
    <row r="580" spans="2:14" ht="15.75" customHeight="1">
      <c r="B580" s="66"/>
      <c r="J580" s="66"/>
      <c r="K580" s="134"/>
      <c r="L580" s="66"/>
      <c r="M580" s="66"/>
      <c r="N580" s="66"/>
    </row>
    <row r="581" spans="2:14" ht="15.75" customHeight="1">
      <c r="B581" s="66"/>
      <c r="J581" s="66"/>
      <c r="K581" s="134"/>
      <c r="L581" s="66"/>
      <c r="M581" s="66"/>
      <c r="N581" s="66"/>
    </row>
    <row r="582" spans="2:14" ht="15.75" customHeight="1">
      <c r="B582" s="66"/>
      <c r="J582" s="66"/>
      <c r="K582" s="134"/>
      <c r="L582" s="66"/>
      <c r="M582" s="66"/>
      <c r="N582" s="66"/>
    </row>
    <row r="583" spans="2:14" ht="15.75" customHeight="1">
      <c r="B583" s="66"/>
      <c r="J583" s="66"/>
      <c r="K583" s="134"/>
      <c r="L583" s="66"/>
      <c r="M583" s="66"/>
      <c r="N583" s="66"/>
    </row>
    <row r="584" spans="2:14" ht="15.75" customHeight="1">
      <c r="B584" s="66"/>
      <c r="J584" s="66"/>
      <c r="K584" s="134"/>
      <c r="L584" s="66"/>
      <c r="M584" s="66"/>
      <c r="N584" s="66"/>
    </row>
    <row r="585" spans="2:14" ht="15.75" customHeight="1">
      <c r="B585" s="66"/>
      <c r="J585" s="66"/>
      <c r="K585" s="134"/>
      <c r="L585" s="66"/>
      <c r="M585" s="66"/>
      <c r="N585" s="66"/>
    </row>
    <row r="586" spans="2:14" ht="15.75" customHeight="1">
      <c r="B586" s="66"/>
      <c r="J586" s="66"/>
      <c r="K586" s="134"/>
      <c r="L586" s="66"/>
      <c r="M586" s="66"/>
      <c r="N586" s="66"/>
    </row>
    <row r="587" spans="2:14" ht="15.75" customHeight="1">
      <c r="B587" s="66"/>
      <c r="J587" s="66"/>
      <c r="K587" s="134"/>
      <c r="L587" s="66"/>
      <c r="M587" s="66"/>
      <c r="N587" s="66"/>
    </row>
    <row r="588" spans="2:14" ht="15.75" customHeight="1">
      <c r="B588" s="66"/>
      <c r="J588" s="66"/>
      <c r="K588" s="134"/>
      <c r="L588" s="66"/>
      <c r="M588" s="66"/>
      <c r="N588" s="66"/>
    </row>
    <row r="589" spans="2:14" ht="15.75" customHeight="1">
      <c r="B589" s="66"/>
      <c r="J589" s="66"/>
      <c r="K589" s="134"/>
      <c r="L589" s="66"/>
      <c r="M589" s="66"/>
      <c r="N589" s="66"/>
    </row>
    <row r="590" spans="2:14" ht="15.75" customHeight="1">
      <c r="B590" s="66"/>
      <c r="J590" s="66"/>
      <c r="K590" s="134"/>
      <c r="L590" s="66"/>
      <c r="M590" s="66"/>
      <c r="N590" s="66"/>
    </row>
    <row r="591" spans="2:14" ht="15.75" customHeight="1">
      <c r="B591" s="66"/>
      <c r="J591" s="66"/>
      <c r="K591" s="134"/>
      <c r="L591" s="66"/>
      <c r="M591" s="66"/>
      <c r="N591" s="66"/>
    </row>
    <row r="592" spans="2:14" ht="15.75" customHeight="1">
      <c r="B592" s="66"/>
      <c r="J592" s="66"/>
      <c r="K592" s="134"/>
      <c r="L592" s="66"/>
      <c r="M592" s="66"/>
      <c r="N592" s="66"/>
    </row>
    <row r="593" spans="2:14" ht="15.75" customHeight="1">
      <c r="B593" s="66"/>
      <c r="J593" s="66"/>
      <c r="K593" s="134"/>
      <c r="L593" s="66"/>
      <c r="M593" s="66"/>
      <c r="N593" s="66"/>
    </row>
    <row r="594" spans="2:14" ht="15.75" customHeight="1">
      <c r="B594" s="66"/>
      <c r="J594" s="66"/>
      <c r="K594" s="134"/>
      <c r="L594" s="66"/>
      <c r="M594" s="66"/>
      <c r="N594" s="66"/>
    </row>
    <row r="595" spans="2:14" ht="15.75" customHeight="1">
      <c r="B595" s="66"/>
      <c r="J595" s="66"/>
      <c r="K595" s="134"/>
      <c r="L595" s="66"/>
      <c r="M595" s="66"/>
      <c r="N595" s="66"/>
    </row>
    <row r="596" spans="2:14" ht="15.75" customHeight="1">
      <c r="B596" s="66"/>
      <c r="J596" s="66"/>
      <c r="K596" s="134"/>
      <c r="L596" s="66"/>
      <c r="M596" s="66"/>
      <c r="N596" s="66"/>
    </row>
    <row r="597" spans="2:14" ht="15.75" customHeight="1">
      <c r="B597" s="66"/>
      <c r="J597" s="66"/>
      <c r="K597" s="134"/>
      <c r="L597" s="66"/>
      <c r="M597" s="66"/>
      <c r="N597" s="66"/>
    </row>
    <row r="598" spans="2:14" ht="15.75" customHeight="1">
      <c r="B598" s="66"/>
      <c r="J598" s="66"/>
      <c r="K598" s="134"/>
      <c r="L598" s="66"/>
      <c r="M598" s="66"/>
      <c r="N598" s="66"/>
    </row>
    <row r="599" spans="2:14" ht="15.75" customHeight="1">
      <c r="B599" s="66"/>
      <c r="J599" s="66"/>
      <c r="K599" s="134"/>
      <c r="L599" s="66"/>
      <c r="M599" s="66"/>
      <c r="N599" s="66"/>
    </row>
    <row r="600" spans="2:14" ht="15.75" customHeight="1">
      <c r="B600" s="66"/>
      <c r="J600" s="66"/>
      <c r="K600" s="134"/>
      <c r="L600" s="66"/>
      <c r="M600" s="66"/>
      <c r="N600" s="66"/>
    </row>
    <row r="601" spans="2:14" ht="15.75" customHeight="1">
      <c r="B601" s="66"/>
      <c r="J601" s="66"/>
      <c r="K601" s="134"/>
      <c r="L601" s="66"/>
      <c r="M601" s="66"/>
      <c r="N601" s="66"/>
    </row>
    <row r="602" spans="2:14" ht="15.75" customHeight="1">
      <c r="B602" s="66"/>
      <c r="J602" s="66"/>
      <c r="K602" s="134"/>
      <c r="L602" s="66"/>
      <c r="M602" s="66"/>
      <c r="N602" s="66"/>
    </row>
    <row r="603" spans="2:14" ht="15.75" customHeight="1">
      <c r="B603" s="66"/>
      <c r="J603" s="66"/>
      <c r="K603" s="134"/>
      <c r="L603" s="66"/>
      <c r="M603" s="66"/>
      <c r="N603" s="66"/>
    </row>
    <row r="604" spans="2:14" ht="15.75" customHeight="1">
      <c r="B604" s="66"/>
      <c r="J604" s="66"/>
      <c r="K604" s="134"/>
      <c r="L604" s="66"/>
      <c r="M604" s="66"/>
      <c r="N604" s="66"/>
    </row>
    <row r="605" spans="2:14" ht="15.75" customHeight="1">
      <c r="B605" s="66"/>
      <c r="J605" s="66"/>
      <c r="K605" s="134"/>
      <c r="L605" s="66"/>
      <c r="M605" s="66"/>
      <c r="N605" s="66"/>
    </row>
    <row r="606" spans="2:14" ht="15.75" customHeight="1">
      <c r="B606" s="66"/>
      <c r="J606" s="66"/>
      <c r="K606" s="134"/>
      <c r="L606" s="66"/>
      <c r="M606" s="66"/>
      <c r="N606" s="66"/>
    </row>
    <row r="607" spans="2:14" ht="15.75" customHeight="1">
      <c r="B607" s="66"/>
      <c r="J607" s="66"/>
      <c r="K607" s="134"/>
      <c r="L607" s="66"/>
      <c r="M607" s="66"/>
      <c r="N607" s="66"/>
    </row>
    <row r="608" spans="2:14" ht="15.75" customHeight="1">
      <c r="B608" s="66"/>
      <c r="J608" s="66"/>
      <c r="K608" s="134"/>
      <c r="L608" s="66"/>
      <c r="M608" s="66"/>
      <c r="N608" s="66"/>
    </row>
    <row r="609" spans="2:14" ht="15.75" customHeight="1">
      <c r="B609" s="66"/>
      <c r="J609" s="66"/>
      <c r="K609" s="134"/>
      <c r="L609" s="66"/>
      <c r="M609" s="66"/>
      <c r="N609" s="66"/>
    </row>
    <row r="610" spans="2:14" ht="15.75" customHeight="1">
      <c r="B610" s="66"/>
      <c r="J610" s="66"/>
      <c r="K610" s="134"/>
      <c r="L610" s="66"/>
      <c r="M610" s="66"/>
      <c r="N610" s="66"/>
    </row>
    <row r="611" spans="2:14" ht="15.75" customHeight="1">
      <c r="B611" s="66"/>
      <c r="J611" s="66"/>
      <c r="K611" s="134"/>
      <c r="L611" s="66"/>
      <c r="M611" s="66"/>
      <c r="N611" s="66"/>
    </row>
    <row r="612" spans="2:14" ht="15.75" customHeight="1">
      <c r="B612" s="66"/>
      <c r="J612" s="66"/>
      <c r="K612" s="134"/>
      <c r="L612" s="66"/>
      <c r="M612" s="66"/>
      <c r="N612" s="66"/>
    </row>
    <row r="613" spans="2:14" ht="15.75" customHeight="1">
      <c r="B613" s="66"/>
      <c r="J613" s="66"/>
      <c r="K613" s="134"/>
      <c r="L613" s="66"/>
      <c r="M613" s="66"/>
      <c r="N613" s="66"/>
    </row>
    <row r="614" spans="2:14" ht="15.75" customHeight="1">
      <c r="B614" s="66"/>
      <c r="J614" s="66"/>
      <c r="K614" s="134"/>
      <c r="L614" s="66"/>
      <c r="M614" s="66"/>
      <c r="N614" s="66"/>
    </row>
    <row r="615" spans="2:14" ht="15.75" customHeight="1">
      <c r="B615" s="66"/>
      <c r="J615" s="66"/>
      <c r="K615" s="134"/>
      <c r="L615" s="66"/>
      <c r="M615" s="66"/>
      <c r="N615" s="66"/>
    </row>
    <row r="616" spans="2:14" ht="15.75" customHeight="1">
      <c r="B616" s="66"/>
      <c r="J616" s="66"/>
      <c r="K616" s="134"/>
      <c r="L616" s="66"/>
      <c r="M616" s="66"/>
      <c r="N616" s="66"/>
    </row>
    <row r="617" spans="2:14" ht="15.75" customHeight="1">
      <c r="B617" s="66"/>
      <c r="J617" s="66"/>
      <c r="K617" s="134"/>
      <c r="L617" s="66"/>
      <c r="M617" s="66"/>
      <c r="N617" s="66"/>
    </row>
    <row r="618" spans="2:14" ht="15.75" customHeight="1">
      <c r="B618" s="66"/>
      <c r="J618" s="66"/>
      <c r="K618" s="134"/>
      <c r="L618" s="66"/>
      <c r="M618" s="66"/>
      <c r="N618" s="66"/>
    </row>
    <row r="619" spans="2:14" ht="15.75" customHeight="1">
      <c r="B619" s="66"/>
      <c r="J619" s="66"/>
      <c r="K619" s="134"/>
      <c r="L619" s="66"/>
      <c r="M619" s="66"/>
      <c r="N619" s="66"/>
    </row>
    <row r="620" spans="2:14" ht="15.75" customHeight="1">
      <c r="B620" s="66"/>
      <c r="J620" s="66"/>
      <c r="K620" s="134"/>
      <c r="L620" s="66"/>
      <c r="M620" s="66"/>
      <c r="N620" s="66"/>
    </row>
    <row r="621" spans="2:14" ht="15.75" customHeight="1">
      <c r="B621" s="66"/>
      <c r="J621" s="66"/>
      <c r="K621" s="134"/>
      <c r="L621" s="66"/>
      <c r="M621" s="66"/>
      <c r="N621" s="66"/>
    </row>
    <row r="622" spans="2:14" ht="15.75" customHeight="1">
      <c r="B622" s="66"/>
      <c r="J622" s="66"/>
      <c r="K622" s="134"/>
      <c r="L622" s="66"/>
      <c r="M622" s="66"/>
      <c r="N622" s="66"/>
    </row>
    <row r="623" spans="2:14" ht="15.75" customHeight="1">
      <c r="B623" s="66"/>
      <c r="J623" s="66"/>
      <c r="K623" s="134"/>
      <c r="L623" s="66"/>
      <c r="M623" s="66"/>
      <c r="N623" s="66"/>
    </row>
    <row r="624" spans="2:14" ht="15.75" customHeight="1">
      <c r="B624" s="66"/>
      <c r="J624" s="66"/>
      <c r="K624" s="134"/>
      <c r="L624" s="66"/>
      <c r="M624" s="66"/>
      <c r="N624" s="66"/>
    </row>
    <row r="625" spans="2:14" ht="15.75" customHeight="1">
      <c r="B625" s="66"/>
      <c r="J625" s="66"/>
      <c r="K625" s="134"/>
      <c r="L625" s="66"/>
      <c r="M625" s="66"/>
      <c r="N625" s="66"/>
    </row>
    <row r="626" spans="2:14" ht="15.75" customHeight="1">
      <c r="B626" s="66"/>
      <c r="J626" s="66"/>
      <c r="K626" s="134"/>
      <c r="L626" s="66"/>
      <c r="M626" s="66"/>
      <c r="N626" s="66"/>
    </row>
    <row r="627" spans="2:14" ht="15.75" customHeight="1">
      <c r="B627" s="66"/>
      <c r="J627" s="66"/>
      <c r="K627" s="134"/>
      <c r="L627" s="66"/>
      <c r="M627" s="66"/>
      <c r="N627" s="66"/>
    </row>
    <row r="628" spans="2:14" ht="15.75" customHeight="1">
      <c r="B628" s="66"/>
      <c r="J628" s="66"/>
      <c r="K628" s="134"/>
      <c r="L628" s="66"/>
      <c r="M628" s="66"/>
      <c r="N628" s="66"/>
    </row>
    <row r="629" spans="2:14" ht="15.75" customHeight="1">
      <c r="B629" s="66"/>
      <c r="J629" s="66"/>
      <c r="K629" s="134"/>
      <c r="L629" s="66"/>
      <c r="M629" s="66"/>
      <c r="N629" s="66"/>
    </row>
    <row r="630" spans="2:14" ht="15.75" customHeight="1">
      <c r="B630" s="66"/>
      <c r="J630" s="66"/>
      <c r="K630" s="134"/>
      <c r="L630" s="66"/>
      <c r="M630" s="66"/>
      <c r="N630" s="66"/>
    </row>
    <row r="631" spans="2:14" ht="15.75" customHeight="1">
      <c r="B631" s="66"/>
      <c r="J631" s="66"/>
      <c r="K631" s="134"/>
      <c r="L631" s="66"/>
      <c r="M631" s="66"/>
      <c r="N631" s="66"/>
    </row>
    <row r="632" spans="2:14" ht="15.75" customHeight="1">
      <c r="B632" s="66"/>
      <c r="J632" s="66"/>
      <c r="K632" s="134"/>
      <c r="L632" s="66"/>
      <c r="M632" s="66"/>
      <c r="N632" s="66"/>
    </row>
    <row r="633" spans="2:14" ht="15.75" customHeight="1">
      <c r="B633" s="66"/>
      <c r="J633" s="66"/>
      <c r="K633" s="134"/>
      <c r="L633" s="66"/>
      <c r="M633" s="66"/>
      <c r="N633" s="66"/>
    </row>
    <row r="634" spans="2:14" ht="15.75" customHeight="1">
      <c r="B634" s="66"/>
      <c r="J634" s="66"/>
      <c r="K634" s="134"/>
      <c r="L634" s="66"/>
      <c r="M634" s="66"/>
      <c r="N634" s="66"/>
    </row>
    <row r="635" spans="2:14" ht="15.75" customHeight="1">
      <c r="B635" s="66"/>
      <c r="J635" s="66"/>
      <c r="K635" s="134"/>
      <c r="L635" s="66"/>
      <c r="M635" s="66"/>
      <c r="N635" s="66"/>
    </row>
    <row r="636" spans="2:14" ht="15.75" customHeight="1">
      <c r="B636" s="66"/>
      <c r="J636" s="66"/>
      <c r="K636" s="134"/>
      <c r="L636" s="66"/>
      <c r="M636" s="66"/>
      <c r="N636" s="66"/>
    </row>
    <row r="637" spans="2:14" ht="15.75" customHeight="1">
      <c r="B637" s="66"/>
      <c r="J637" s="66"/>
      <c r="K637" s="134"/>
      <c r="L637" s="66"/>
      <c r="M637" s="66"/>
      <c r="N637" s="66"/>
    </row>
    <row r="638" spans="2:14" ht="15.75" customHeight="1">
      <c r="B638" s="66"/>
      <c r="J638" s="66"/>
      <c r="K638" s="134"/>
      <c r="L638" s="66"/>
      <c r="M638" s="66"/>
      <c r="N638" s="66"/>
    </row>
    <row r="639" spans="2:14" ht="15.75" customHeight="1">
      <c r="B639" s="66"/>
      <c r="J639" s="66"/>
      <c r="K639" s="134"/>
      <c r="L639" s="66"/>
      <c r="M639" s="66"/>
      <c r="N639" s="66"/>
    </row>
    <row r="640" spans="2:14" ht="15.75" customHeight="1">
      <c r="B640" s="66"/>
      <c r="J640" s="66"/>
      <c r="K640" s="134"/>
      <c r="L640" s="66"/>
      <c r="M640" s="66"/>
      <c r="N640" s="66"/>
    </row>
    <row r="641" spans="2:14" ht="15.75" customHeight="1">
      <c r="B641" s="66"/>
      <c r="J641" s="66"/>
      <c r="K641" s="134"/>
      <c r="L641" s="66"/>
      <c r="M641" s="66"/>
      <c r="N641" s="66"/>
    </row>
    <row r="642" spans="2:14" ht="15.75" customHeight="1">
      <c r="B642" s="66"/>
      <c r="J642" s="66"/>
      <c r="K642" s="134"/>
      <c r="L642" s="66"/>
      <c r="M642" s="66"/>
      <c r="N642" s="66"/>
    </row>
    <row r="643" spans="2:14" ht="15.75" customHeight="1">
      <c r="B643" s="66"/>
      <c r="J643" s="66"/>
      <c r="K643" s="134"/>
      <c r="L643" s="66"/>
      <c r="M643" s="66"/>
      <c r="N643" s="66"/>
    </row>
    <row r="644" spans="2:14" ht="15.75" customHeight="1">
      <c r="B644" s="66"/>
      <c r="J644" s="66"/>
      <c r="K644" s="134"/>
      <c r="L644" s="66"/>
      <c r="M644" s="66"/>
      <c r="N644" s="66"/>
    </row>
    <row r="645" spans="2:14" ht="15.75" customHeight="1">
      <c r="B645" s="66"/>
      <c r="J645" s="66"/>
      <c r="K645" s="134"/>
      <c r="L645" s="66"/>
      <c r="M645" s="66"/>
      <c r="N645" s="66"/>
    </row>
    <row r="646" spans="2:14" ht="15.75" customHeight="1">
      <c r="B646" s="66"/>
      <c r="J646" s="66"/>
      <c r="K646" s="134"/>
      <c r="L646" s="66"/>
      <c r="M646" s="66"/>
      <c r="N646" s="66"/>
    </row>
    <row r="647" spans="2:14" ht="15.75" customHeight="1">
      <c r="B647" s="66"/>
      <c r="J647" s="66"/>
      <c r="K647" s="134"/>
      <c r="L647" s="66"/>
      <c r="M647" s="66"/>
      <c r="N647" s="66"/>
    </row>
    <row r="648" spans="2:14" ht="15.75" customHeight="1">
      <c r="B648" s="66"/>
      <c r="J648" s="66"/>
      <c r="K648" s="134"/>
      <c r="L648" s="66"/>
      <c r="M648" s="66"/>
      <c r="N648" s="66"/>
    </row>
    <row r="649" spans="2:14" ht="15.75" customHeight="1">
      <c r="B649" s="66"/>
      <c r="J649" s="66"/>
      <c r="K649" s="134"/>
      <c r="L649" s="66"/>
      <c r="M649" s="66"/>
      <c r="N649" s="66"/>
    </row>
    <row r="650" spans="2:14" ht="15.75" customHeight="1">
      <c r="B650" s="66"/>
      <c r="J650" s="66"/>
      <c r="K650" s="134"/>
      <c r="L650" s="66"/>
      <c r="M650" s="66"/>
      <c r="N650" s="66"/>
    </row>
    <row r="651" spans="2:14" ht="15.75" customHeight="1">
      <c r="B651" s="66"/>
      <c r="J651" s="66"/>
      <c r="K651" s="134"/>
      <c r="L651" s="66"/>
      <c r="M651" s="66"/>
      <c r="N651" s="66"/>
    </row>
    <row r="652" spans="2:14" ht="15.75" customHeight="1">
      <c r="B652" s="66"/>
      <c r="J652" s="66"/>
      <c r="K652" s="134"/>
      <c r="L652" s="66"/>
      <c r="M652" s="66"/>
      <c r="N652" s="66"/>
    </row>
    <row r="653" spans="2:14" ht="15.75" customHeight="1">
      <c r="B653" s="66"/>
      <c r="J653" s="66"/>
      <c r="K653" s="134"/>
      <c r="L653" s="66"/>
      <c r="M653" s="66"/>
      <c r="N653" s="66"/>
    </row>
    <row r="654" spans="2:14" ht="15.75" customHeight="1">
      <c r="B654" s="66"/>
      <c r="J654" s="66"/>
      <c r="K654" s="134"/>
      <c r="L654" s="66"/>
      <c r="M654" s="66"/>
      <c r="N654" s="66"/>
    </row>
    <row r="655" spans="2:14" ht="15.75" customHeight="1">
      <c r="B655" s="66"/>
      <c r="J655" s="66"/>
      <c r="K655" s="134"/>
      <c r="L655" s="66"/>
      <c r="M655" s="66"/>
      <c r="N655" s="66"/>
    </row>
    <row r="656" spans="2:14" ht="15.75" customHeight="1">
      <c r="B656" s="66"/>
      <c r="J656" s="66"/>
      <c r="K656" s="134"/>
      <c r="L656" s="66"/>
      <c r="M656" s="66"/>
      <c r="N656" s="66"/>
    </row>
    <row r="657" spans="2:14" ht="15.75" customHeight="1">
      <c r="B657" s="66"/>
      <c r="J657" s="66"/>
      <c r="K657" s="134"/>
      <c r="L657" s="66"/>
      <c r="M657" s="66"/>
      <c r="N657" s="66"/>
    </row>
    <row r="658" spans="2:14" ht="15.75" customHeight="1">
      <c r="B658" s="66"/>
      <c r="J658" s="66"/>
      <c r="K658" s="134"/>
      <c r="L658" s="66"/>
      <c r="M658" s="66"/>
      <c r="N658" s="66"/>
    </row>
    <row r="659" spans="2:14" ht="15.75" customHeight="1">
      <c r="B659" s="66"/>
      <c r="J659" s="66"/>
      <c r="K659" s="134"/>
      <c r="L659" s="66"/>
      <c r="M659" s="66"/>
      <c r="N659" s="66"/>
    </row>
    <row r="660" spans="2:14" ht="15.75" customHeight="1">
      <c r="B660" s="66"/>
      <c r="J660" s="66"/>
      <c r="K660" s="134"/>
      <c r="L660" s="66"/>
      <c r="M660" s="66"/>
      <c r="N660" s="66"/>
    </row>
    <row r="661" spans="2:14" ht="15.75" customHeight="1">
      <c r="B661" s="66"/>
      <c r="J661" s="66"/>
      <c r="K661" s="134"/>
      <c r="L661" s="66"/>
      <c r="M661" s="66"/>
      <c r="N661" s="66"/>
    </row>
    <row r="662" spans="2:14" ht="15.75" customHeight="1">
      <c r="B662" s="66"/>
      <c r="J662" s="66"/>
      <c r="K662" s="134"/>
      <c r="L662" s="66"/>
      <c r="M662" s="66"/>
      <c r="N662" s="66"/>
    </row>
    <row r="663" spans="2:14" ht="15.75" customHeight="1">
      <c r="B663" s="66"/>
      <c r="J663" s="66"/>
      <c r="K663" s="134"/>
      <c r="L663" s="66"/>
      <c r="M663" s="66"/>
      <c r="N663" s="66"/>
    </row>
    <row r="664" spans="2:14" ht="15.75" customHeight="1">
      <c r="B664" s="66"/>
      <c r="J664" s="66"/>
      <c r="K664" s="134"/>
      <c r="L664" s="66"/>
      <c r="M664" s="66"/>
      <c r="N664" s="66"/>
    </row>
    <row r="665" spans="2:14" ht="15.75" customHeight="1">
      <c r="B665" s="66"/>
      <c r="J665" s="66"/>
      <c r="K665" s="134"/>
      <c r="L665" s="66"/>
      <c r="M665" s="66"/>
      <c r="N665" s="66"/>
    </row>
    <row r="666" spans="2:14" ht="15.75" customHeight="1">
      <c r="B666" s="66"/>
      <c r="J666" s="66"/>
      <c r="K666" s="134"/>
      <c r="L666" s="66"/>
      <c r="M666" s="66"/>
      <c r="N666" s="66"/>
    </row>
    <row r="667" spans="2:14" ht="15.75" customHeight="1">
      <c r="B667" s="66"/>
      <c r="J667" s="66"/>
      <c r="K667" s="134"/>
      <c r="L667" s="66"/>
      <c r="M667" s="66"/>
      <c r="N667" s="66"/>
    </row>
    <row r="668" spans="2:14" ht="15.75" customHeight="1">
      <c r="B668" s="66"/>
      <c r="J668" s="66"/>
      <c r="K668" s="134"/>
      <c r="L668" s="66"/>
      <c r="M668" s="66"/>
      <c r="N668" s="66"/>
    </row>
    <row r="669" spans="2:14" ht="15.75" customHeight="1">
      <c r="B669" s="66"/>
      <c r="J669" s="66"/>
      <c r="K669" s="134"/>
      <c r="L669" s="66"/>
      <c r="M669" s="66"/>
      <c r="N669" s="66"/>
    </row>
    <row r="670" spans="2:14" ht="15.75" customHeight="1">
      <c r="B670" s="66"/>
      <c r="J670" s="66"/>
      <c r="K670" s="134"/>
      <c r="L670" s="66"/>
      <c r="M670" s="66"/>
      <c r="N670" s="66"/>
    </row>
    <row r="671" spans="2:14" ht="15.75" customHeight="1">
      <c r="B671" s="66"/>
      <c r="J671" s="66"/>
      <c r="K671" s="134"/>
      <c r="L671" s="66"/>
      <c r="M671" s="66"/>
      <c r="N671" s="66"/>
    </row>
    <row r="672" spans="2:14" ht="15.75" customHeight="1">
      <c r="B672" s="66"/>
      <c r="J672" s="66"/>
      <c r="K672" s="134"/>
      <c r="L672" s="66"/>
      <c r="M672" s="66"/>
      <c r="N672" s="66"/>
    </row>
    <row r="673" spans="2:14" ht="15.75" customHeight="1">
      <c r="B673" s="66"/>
      <c r="J673" s="66"/>
      <c r="K673" s="134"/>
      <c r="L673" s="66"/>
      <c r="M673" s="66"/>
      <c r="N673" s="66"/>
    </row>
    <row r="674" spans="2:14" ht="15.75" customHeight="1">
      <c r="B674" s="66"/>
      <c r="J674" s="66"/>
      <c r="K674" s="134"/>
      <c r="L674" s="66"/>
      <c r="M674" s="66"/>
      <c r="N674" s="66"/>
    </row>
    <row r="675" spans="2:14" ht="15.75" customHeight="1">
      <c r="B675" s="66"/>
      <c r="J675" s="66"/>
      <c r="K675" s="134"/>
      <c r="L675" s="66"/>
      <c r="M675" s="66"/>
      <c r="N675" s="66"/>
    </row>
    <row r="676" spans="2:14" ht="15.75" customHeight="1">
      <c r="B676" s="66"/>
      <c r="J676" s="66"/>
      <c r="K676" s="134"/>
      <c r="L676" s="66"/>
      <c r="M676" s="66"/>
      <c r="N676" s="66"/>
    </row>
    <row r="677" spans="2:14" ht="15.75" customHeight="1">
      <c r="B677" s="66"/>
      <c r="J677" s="66"/>
      <c r="K677" s="134"/>
      <c r="L677" s="66"/>
      <c r="M677" s="66"/>
      <c r="N677" s="66"/>
    </row>
    <row r="678" spans="2:14" ht="15.75" customHeight="1">
      <c r="B678" s="66"/>
      <c r="J678" s="66"/>
      <c r="K678" s="134"/>
      <c r="L678" s="66"/>
      <c r="M678" s="66"/>
      <c r="N678" s="66"/>
    </row>
    <row r="679" spans="2:14" ht="15.75" customHeight="1">
      <c r="B679" s="66"/>
      <c r="J679" s="66"/>
      <c r="K679" s="134"/>
      <c r="L679" s="66"/>
      <c r="M679" s="66"/>
      <c r="N679" s="66"/>
    </row>
    <row r="680" spans="2:14" ht="15.75" customHeight="1">
      <c r="B680" s="66"/>
      <c r="J680" s="66"/>
      <c r="K680" s="134"/>
      <c r="L680" s="66"/>
      <c r="M680" s="66"/>
      <c r="N680" s="66"/>
    </row>
    <row r="681" spans="2:14" ht="15.75" customHeight="1">
      <c r="B681" s="66"/>
      <c r="J681" s="66"/>
      <c r="K681" s="134"/>
      <c r="L681" s="66"/>
      <c r="M681" s="66"/>
      <c r="N681" s="66"/>
    </row>
    <row r="682" spans="2:14" ht="15.75" customHeight="1">
      <c r="B682" s="66"/>
      <c r="J682" s="66"/>
      <c r="K682" s="134"/>
      <c r="L682" s="66"/>
      <c r="M682" s="66"/>
      <c r="N682" s="66"/>
    </row>
    <row r="683" spans="2:14" ht="15.75" customHeight="1">
      <c r="B683" s="66"/>
      <c r="J683" s="66"/>
      <c r="K683" s="134"/>
      <c r="L683" s="66"/>
      <c r="M683" s="66"/>
      <c r="N683" s="66"/>
    </row>
    <row r="684" spans="2:14" ht="15.75" customHeight="1">
      <c r="B684" s="66"/>
      <c r="J684" s="66"/>
      <c r="K684" s="134"/>
      <c r="L684" s="66"/>
      <c r="M684" s="66"/>
      <c r="N684" s="66"/>
    </row>
    <row r="685" spans="2:14" ht="15.75" customHeight="1">
      <c r="B685" s="66"/>
      <c r="J685" s="66"/>
      <c r="K685" s="134"/>
      <c r="L685" s="66"/>
      <c r="M685" s="66"/>
      <c r="N685" s="66"/>
    </row>
    <row r="686" spans="2:14" ht="15.75" customHeight="1">
      <c r="B686" s="66"/>
      <c r="J686" s="66"/>
      <c r="K686" s="134"/>
      <c r="L686" s="66"/>
      <c r="M686" s="66"/>
      <c r="N686" s="66"/>
    </row>
    <row r="687" spans="2:14" ht="15.75" customHeight="1">
      <c r="B687" s="66"/>
      <c r="J687" s="66"/>
      <c r="K687" s="134"/>
      <c r="L687" s="66"/>
      <c r="M687" s="66"/>
      <c r="N687" s="66"/>
    </row>
    <row r="688" spans="2:14" ht="15.75" customHeight="1">
      <c r="B688" s="66"/>
      <c r="J688" s="66"/>
      <c r="K688" s="134"/>
      <c r="L688" s="66"/>
      <c r="M688" s="66"/>
      <c r="N688" s="66"/>
    </row>
    <row r="689" spans="2:14" ht="15.75" customHeight="1">
      <c r="B689" s="66"/>
      <c r="J689" s="66"/>
      <c r="K689" s="134"/>
      <c r="L689" s="66"/>
      <c r="M689" s="66"/>
      <c r="N689" s="66"/>
    </row>
    <row r="690" spans="2:14" ht="15.75" customHeight="1">
      <c r="B690" s="66"/>
      <c r="J690" s="66"/>
      <c r="K690" s="134"/>
      <c r="L690" s="66"/>
      <c r="M690" s="66"/>
      <c r="N690" s="66"/>
    </row>
    <row r="691" spans="2:14" ht="15.75" customHeight="1">
      <c r="B691" s="66"/>
      <c r="J691" s="66"/>
      <c r="K691" s="134"/>
      <c r="L691" s="66"/>
      <c r="M691" s="66"/>
      <c r="N691" s="66"/>
    </row>
    <row r="692" spans="2:14" ht="15.75" customHeight="1">
      <c r="B692" s="66"/>
      <c r="J692" s="66"/>
      <c r="K692" s="134"/>
      <c r="L692" s="66"/>
      <c r="M692" s="66"/>
      <c r="N692" s="66"/>
    </row>
    <row r="693" spans="2:14" ht="15.75" customHeight="1">
      <c r="B693" s="66"/>
      <c r="J693" s="66"/>
      <c r="K693" s="134"/>
      <c r="L693" s="66"/>
      <c r="M693" s="66"/>
      <c r="N693" s="66"/>
    </row>
    <row r="694" spans="2:14" ht="15.75" customHeight="1">
      <c r="B694" s="66"/>
      <c r="J694" s="66"/>
      <c r="K694" s="134"/>
      <c r="L694" s="66"/>
      <c r="M694" s="66"/>
      <c r="N694" s="66"/>
    </row>
    <row r="695" spans="2:14" ht="15.75" customHeight="1">
      <c r="B695" s="66"/>
      <c r="J695" s="66"/>
      <c r="K695" s="134"/>
      <c r="L695" s="66"/>
      <c r="M695" s="66"/>
      <c r="N695" s="66"/>
    </row>
    <row r="696" spans="2:14" ht="15.75" customHeight="1">
      <c r="B696" s="66"/>
      <c r="J696" s="66"/>
      <c r="K696" s="134"/>
      <c r="L696" s="66"/>
      <c r="M696" s="66"/>
      <c r="N696" s="66"/>
    </row>
    <row r="697" spans="2:14" ht="15.75" customHeight="1">
      <c r="B697" s="66"/>
      <c r="J697" s="66"/>
      <c r="K697" s="134"/>
      <c r="L697" s="66"/>
      <c r="M697" s="66"/>
      <c r="N697" s="66"/>
    </row>
    <row r="698" spans="2:14" ht="15.75" customHeight="1">
      <c r="B698" s="66"/>
      <c r="J698" s="66"/>
      <c r="K698" s="134"/>
      <c r="L698" s="66"/>
      <c r="M698" s="66"/>
      <c r="N698" s="66"/>
    </row>
    <row r="699" spans="2:14" ht="15.75" customHeight="1">
      <c r="B699" s="66"/>
      <c r="J699" s="66"/>
      <c r="K699" s="134"/>
      <c r="L699" s="66"/>
      <c r="M699" s="66"/>
      <c r="N699" s="66"/>
    </row>
    <row r="700" spans="2:14" ht="15.75" customHeight="1">
      <c r="B700" s="66"/>
      <c r="J700" s="66"/>
      <c r="K700" s="134"/>
      <c r="L700" s="66"/>
      <c r="M700" s="66"/>
      <c r="N700" s="66"/>
    </row>
    <row r="701" spans="2:14" ht="15.75" customHeight="1">
      <c r="B701" s="66"/>
      <c r="J701" s="66"/>
      <c r="K701" s="134"/>
      <c r="L701" s="66"/>
      <c r="M701" s="66"/>
      <c r="N701" s="66"/>
    </row>
    <row r="702" spans="2:14" ht="15.75" customHeight="1">
      <c r="B702" s="66"/>
      <c r="J702" s="66"/>
      <c r="K702" s="134"/>
      <c r="L702" s="66"/>
      <c r="M702" s="66"/>
      <c r="N702" s="66"/>
    </row>
    <row r="703" spans="2:14" ht="15.75" customHeight="1">
      <c r="B703" s="66"/>
      <c r="J703" s="66"/>
      <c r="K703" s="134"/>
      <c r="L703" s="66"/>
      <c r="M703" s="66"/>
      <c r="N703" s="66"/>
    </row>
    <row r="704" spans="2:14" ht="15.75" customHeight="1">
      <c r="B704" s="66"/>
      <c r="J704" s="66"/>
      <c r="K704" s="134"/>
      <c r="L704" s="66"/>
      <c r="M704" s="66"/>
      <c r="N704" s="66"/>
    </row>
    <row r="705" spans="2:14" ht="15.75" customHeight="1">
      <c r="B705" s="66"/>
      <c r="J705" s="66"/>
      <c r="K705" s="134"/>
      <c r="L705" s="66"/>
      <c r="M705" s="66"/>
      <c r="N705" s="66"/>
    </row>
    <row r="706" spans="2:14" ht="15.75" customHeight="1">
      <c r="B706" s="66"/>
      <c r="J706" s="66"/>
      <c r="K706" s="134"/>
      <c r="L706" s="66"/>
      <c r="M706" s="66"/>
      <c r="N706" s="66"/>
    </row>
    <row r="707" spans="2:14" ht="15.75" customHeight="1">
      <c r="B707" s="66"/>
      <c r="J707" s="66"/>
      <c r="K707" s="134"/>
      <c r="L707" s="66"/>
      <c r="M707" s="66"/>
      <c r="N707" s="66"/>
    </row>
    <row r="708" spans="2:14" ht="15.75" customHeight="1">
      <c r="B708" s="66"/>
      <c r="J708" s="66"/>
      <c r="K708" s="134"/>
      <c r="L708" s="66"/>
      <c r="M708" s="66"/>
      <c r="N708" s="66"/>
    </row>
    <row r="709" spans="2:14" ht="15.75" customHeight="1">
      <c r="B709" s="66"/>
      <c r="J709" s="66"/>
      <c r="K709" s="134"/>
      <c r="L709" s="66"/>
      <c r="M709" s="66"/>
      <c r="N709" s="66"/>
    </row>
    <row r="710" spans="2:14" ht="15.75" customHeight="1">
      <c r="B710" s="66"/>
      <c r="J710" s="66"/>
      <c r="K710" s="134"/>
      <c r="L710" s="66"/>
      <c r="M710" s="66"/>
      <c r="N710" s="66"/>
    </row>
    <row r="711" spans="2:14" ht="15.75" customHeight="1">
      <c r="B711" s="66"/>
      <c r="J711" s="66"/>
      <c r="K711" s="134"/>
      <c r="L711" s="66"/>
      <c r="M711" s="66"/>
      <c r="N711" s="66"/>
    </row>
    <row r="712" spans="2:14" ht="15.75" customHeight="1">
      <c r="B712" s="66"/>
      <c r="J712" s="66"/>
      <c r="K712" s="134"/>
      <c r="L712" s="66"/>
      <c r="M712" s="66"/>
      <c r="N712" s="66"/>
    </row>
    <row r="713" spans="2:14" ht="15.75" customHeight="1">
      <c r="B713" s="66"/>
      <c r="J713" s="66"/>
      <c r="K713" s="134"/>
      <c r="L713" s="66"/>
      <c r="M713" s="66"/>
      <c r="N713" s="66"/>
    </row>
    <row r="714" spans="2:14" ht="15.75" customHeight="1">
      <c r="B714" s="66"/>
      <c r="J714" s="66"/>
      <c r="K714" s="134"/>
      <c r="L714" s="66"/>
      <c r="M714" s="66"/>
      <c r="N714" s="66"/>
    </row>
    <row r="715" spans="2:14" ht="15.75" customHeight="1">
      <c r="B715" s="66"/>
      <c r="J715" s="66"/>
      <c r="K715" s="134"/>
      <c r="L715" s="66"/>
      <c r="M715" s="66"/>
      <c r="N715" s="66"/>
    </row>
    <row r="716" spans="2:14" ht="15.75" customHeight="1">
      <c r="B716" s="66"/>
      <c r="J716" s="66"/>
      <c r="K716" s="134"/>
      <c r="L716" s="66"/>
      <c r="M716" s="66"/>
      <c r="N716" s="66"/>
    </row>
    <row r="717" spans="2:14" ht="15.75" customHeight="1">
      <c r="B717" s="66"/>
      <c r="J717" s="66"/>
      <c r="K717" s="134"/>
      <c r="L717" s="66"/>
      <c r="M717" s="66"/>
      <c r="N717" s="66"/>
    </row>
    <row r="718" spans="2:14" ht="15.75" customHeight="1">
      <c r="B718" s="66"/>
      <c r="J718" s="66"/>
      <c r="K718" s="134"/>
      <c r="L718" s="66"/>
      <c r="M718" s="66"/>
      <c r="N718" s="66"/>
    </row>
    <row r="719" spans="2:14" ht="15.75" customHeight="1">
      <c r="B719" s="66"/>
      <c r="J719" s="66"/>
      <c r="K719" s="134"/>
      <c r="L719" s="66"/>
      <c r="M719" s="66"/>
      <c r="N719" s="66"/>
    </row>
    <row r="720" spans="2:14" ht="15.75" customHeight="1">
      <c r="B720" s="66"/>
      <c r="J720" s="66"/>
      <c r="K720" s="134"/>
      <c r="L720" s="66"/>
      <c r="M720" s="66"/>
      <c r="N720" s="66"/>
    </row>
    <row r="721" spans="2:14" ht="15.75" customHeight="1">
      <c r="B721" s="66"/>
      <c r="J721" s="66"/>
      <c r="K721" s="134"/>
      <c r="L721" s="66"/>
      <c r="M721" s="66"/>
      <c r="N721" s="66"/>
    </row>
    <row r="722" spans="2:14" ht="15.75" customHeight="1">
      <c r="B722" s="66"/>
      <c r="J722" s="66"/>
      <c r="K722" s="134"/>
      <c r="L722" s="66"/>
      <c r="M722" s="66"/>
      <c r="N722" s="66"/>
    </row>
    <row r="723" spans="2:14" ht="15.75" customHeight="1">
      <c r="B723" s="66"/>
      <c r="J723" s="66"/>
      <c r="K723" s="134"/>
      <c r="L723" s="66"/>
      <c r="M723" s="66"/>
      <c r="N723" s="66"/>
    </row>
    <row r="724" spans="2:14" ht="15.75" customHeight="1">
      <c r="B724" s="66"/>
      <c r="J724" s="66"/>
      <c r="K724" s="134"/>
      <c r="L724" s="66"/>
      <c r="M724" s="66"/>
      <c r="N724" s="66"/>
    </row>
    <row r="725" spans="2:14" ht="15.75" customHeight="1">
      <c r="B725" s="66"/>
      <c r="J725" s="66"/>
      <c r="K725" s="134"/>
      <c r="L725" s="66"/>
      <c r="M725" s="66"/>
      <c r="N725" s="66"/>
    </row>
    <row r="726" spans="2:14" ht="15.75" customHeight="1">
      <c r="B726" s="66"/>
      <c r="J726" s="66"/>
      <c r="K726" s="134"/>
      <c r="L726" s="66"/>
      <c r="M726" s="66"/>
      <c r="N726" s="66"/>
    </row>
    <row r="727" spans="2:14" ht="15.75" customHeight="1">
      <c r="B727" s="66"/>
      <c r="J727" s="66"/>
      <c r="K727" s="134"/>
      <c r="L727" s="66"/>
      <c r="M727" s="66"/>
      <c r="N727" s="66"/>
    </row>
    <row r="728" spans="2:14" ht="15.75" customHeight="1">
      <c r="B728" s="66"/>
      <c r="J728" s="66"/>
      <c r="K728" s="134"/>
      <c r="L728" s="66"/>
      <c r="M728" s="66"/>
      <c r="N728" s="66"/>
    </row>
    <row r="729" spans="2:14" ht="15.75" customHeight="1">
      <c r="B729" s="66"/>
      <c r="J729" s="66"/>
      <c r="K729" s="134"/>
      <c r="L729" s="66"/>
      <c r="M729" s="66"/>
      <c r="N729" s="66"/>
    </row>
    <row r="730" spans="2:14" ht="15.75" customHeight="1">
      <c r="B730" s="66"/>
      <c r="J730" s="66"/>
      <c r="K730" s="134"/>
      <c r="L730" s="66"/>
      <c r="M730" s="66"/>
      <c r="N730" s="66"/>
    </row>
    <row r="731" spans="2:14" ht="15.75" customHeight="1">
      <c r="B731" s="66"/>
      <c r="J731" s="66"/>
      <c r="K731" s="134"/>
      <c r="L731" s="66"/>
      <c r="M731" s="66"/>
      <c r="N731" s="66"/>
    </row>
    <row r="732" spans="2:14" ht="15.75" customHeight="1">
      <c r="B732" s="66"/>
      <c r="J732" s="66"/>
      <c r="K732" s="134"/>
      <c r="L732" s="66"/>
      <c r="M732" s="66"/>
      <c r="N732" s="66"/>
    </row>
    <row r="733" spans="2:14" ht="15.75" customHeight="1">
      <c r="B733" s="66"/>
      <c r="J733" s="66"/>
      <c r="K733" s="134"/>
      <c r="L733" s="66"/>
      <c r="M733" s="66"/>
      <c r="N733" s="66"/>
    </row>
    <row r="734" spans="2:14" ht="15.75" customHeight="1">
      <c r="B734" s="66"/>
      <c r="J734" s="66"/>
      <c r="K734" s="134"/>
      <c r="L734" s="66"/>
      <c r="M734" s="66"/>
      <c r="N734" s="66"/>
    </row>
    <row r="735" spans="2:14" ht="15.75" customHeight="1">
      <c r="B735" s="66"/>
      <c r="J735" s="66"/>
      <c r="K735" s="134"/>
      <c r="L735" s="66"/>
      <c r="M735" s="66"/>
      <c r="N735" s="66"/>
    </row>
    <row r="736" spans="2:14" ht="15.75" customHeight="1">
      <c r="B736" s="66"/>
      <c r="J736" s="66"/>
      <c r="K736" s="134"/>
      <c r="L736" s="66"/>
      <c r="M736" s="66"/>
      <c r="N736" s="66"/>
    </row>
    <row r="737" spans="2:14" ht="15.75" customHeight="1">
      <c r="B737" s="66"/>
      <c r="J737" s="66"/>
      <c r="K737" s="134"/>
      <c r="L737" s="66"/>
      <c r="M737" s="66"/>
      <c r="N737" s="66"/>
    </row>
    <row r="738" spans="2:14" ht="15.75" customHeight="1">
      <c r="B738" s="66"/>
      <c r="J738" s="66"/>
      <c r="K738" s="134"/>
      <c r="L738" s="66"/>
      <c r="M738" s="66"/>
      <c r="N738" s="66"/>
    </row>
    <row r="739" spans="2:14" ht="15.75" customHeight="1">
      <c r="B739" s="66"/>
      <c r="J739" s="66"/>
      <c r="K739" s="134"/>
      <c r="L739" s="66"/>
      <c r="M739" s="66"/>
      <c r="N739" s="66"/>
    </row>
    <row r="740" spans="2:14" ht="15.75" customHeight="1">
      <c r="B740" s="66"/>
      <c r="J740" s="66"/>
      <c r="K740" s="134"/>
      <c r="L740" s="66"/>
      <c r="M740" s="66"/>
      <c r="N740" s="66"/>
    </row>
    <row r="741" spans="2:14" ht="15.75" customHeight="1">
      <c r="B741" s="66"/>
      <c r="J741" s="66"/>
      <c r="K741" s="134"/>
      <c r="L741" s="66"/>
      <c r="M741" s="66"/>
      <c r="N741" s="66"/>
    </row>
    <row r="742" spans="2:14" ht="15.75" customHeight="1">
      <c r="B742" s="66"/>
      <c r="J742" s="66"/>
      <c r="K742" s="134"/>
      <c r="L742" s="66"/>
      <c r="M742" s="66"/>
      <c r="N742" s="66"/>
    </row>
    <row r="743" spans="2:14" ht="15.75" customHeight="1">
      <c r="B743" s="66"/>
      <c r="J743" s="66"/>
      <c r="K743" s="134"/>
      <c r="L743" s="66"/>
      <c r="M743" s="66"/>
      <c r="N743" s="66"/>
    </row>
    <row r="744" spans="2:14" ht="15.75" customHeight="1">
      <c r="B744" s="66"/>
      <c r="J744" s="66"/>
      <c r="K744" s="134"/>
      <c r="L744" s="66"/>
      <c r="M744" s="66"/>
      <c r="N744" s="66"/>
    </row>
    <row r="745" spans="2:14" ht="15.75" customHeight="1">
      <c r="B745" s="66"/>
      <c r="J745" s="66"/>
      <c r="K745" s="134"/>
      <c r="L745" s="66"/>
      <c r="M745" s="66"/>
      <c r="N745" s="66"/>
    </row>
    <row r="746" spans="2:14" ht="15.75" customHeight="1">
      <c r="B746" s="66"/>
      <c r="J746" s="66"/>
      <c r="K746" s="134"/>
      <c r="L746" s="66"/>
      <c r="M746" s="66"/>
      <c r="N746" s="66"/>
    </row>
    <row r="747" spans="2:14" ht="15.75" customHeight="1">
      <c r="B747" s="66"/>
      <c r="J747" s="66"/>
      <c r="K747" s="134"/>
      <c r="L747" s="66"/>
      <c r="M747" s="66"/>
      <c r="N747" s="66"/>
    </row>
    <row r="748" spans="2:14" ht="15.75" customHeight="1">
      <c r="B748" s="66"/>
      <c r="J748" s="66"/>
      <c r="K748" s="134"/>
      <c r="L748" s="66"/>
      <c r="M748" s="66"/>
      <c r="N748" s="66"/>
    </row>
    <row r="749" spans="2:14" ht="15.75" customHeight="1">
      <c r="B749" s="66"/>
      <c r="J749" s="66"/>
      <c r="K749" s="134"/>
      <c r="L749" s="66"/>
      <c r="M749" s="66"/>
      <c r="N749" s="66"/>
    </row>
    <row r="750" spans="2:14" ht="15.75" customHeight="1">
      <c r="B750" s="66"/>
      <c r="J750" s="66"/>
      <c r="K750" s="134"/>
      <c r="L750" s="66"/>
      <c r="M750" s="66"/>
      <c r="N750" s="66"/>
    </row>
    <row r="751" spans="2:14" ht="15.75" customHeight="1">
      <c r="B751" s="66"/>
      <c r="J751" s="66"/>
      <c r="K751" s="134"/>
      <c r="L751" s="66"/>
      <c r="M751" s="66"/>
      <c r="N751" s="66"/>
    </row>
    <row r="752" spans="2:14" ht="15.75" customHeight="1">
      <c r="B752" s="66"/>
      <c r="J752" s="66"/>
      <c r="K752" s="134"/>
      <c r="L752" s="66"/>
      <c r="M752" s="66"/>
      <c r="N752" s="66"/>
    </row>
    <row r="753" spans="2:14" ht="15.75" customHeight="1">
      <c r="B753" s="66"/>
      <c r="J753" s="66"/>
      <c r="K753" s="134"/>
      <c r="L753" s="66"/>
      <c r="M753" s="66"/>
      <c r="N753" s="66"/>
    </row>
    <row r="754" spans="2:14" ht="15.75" customHeight="1">
      <c r="B754" s="66"/>
      <c r="J754" s="66"/>
      <c r="K754" s="134"/>
      <c r="L754" s="66"/>
      <c r="M754" s="66"/>
      <c r="N754" s="66"/>
    </row>
    <row r="755" spans="2:14" ht="15.75" customHeight="1">
      <c r="B755" s="66"/>
      <c r="J755" s="66"/>
      <c r="K755" s="134"/>
      <c r="L755" s="66"/>
      <c r="M755" s="66"/>
      <c r="N755" s="66"/>
    </row>
    <row r="756" spans="2:14" ht="15.75" customHeight="1">
      <c r="B756" s="66"/>
      <c r="J756" s="66"/>
      <c r="K756" s="134"/>
      <c r="L756" s="66"/>
      <c r="M756" s="66"/>
      <c r="N756" s="66"/>
    </row>
    <row r="757" spans="2:14" ht="15.75" customHeight="1">
      <c r="B757" s="66"/>
      <c r="J757" s="66"/>
      <c r="K757" s="134"/>
      <c r="L757" s="66"/>
      <c r="M757" s="66"/>
      <c r="N757" s="66"/>
    </row>
    <row r="758" spans="2:14" ht="15.75" customHeight="1">
      <c r="B758" s="66"/>
      <c r="J758" s="66"/>
      <c r="K758" s="134"/>
      <c r="L758" s="66"/>
      <c r="M758" s="66"/>
      <c r="N758" s="66"/>
    </row>
    <row r="759" spans="2:14" ht="15.75" customHeight="1">
      <c r="B759" s="66"/>
      <c r="J759" s="66"/>
      <c r="K759" s="134"/>
      <c r="L759" s="66"/>
      <c r="M759" s="66"/>
      <c r="N759" s="66"/>
    </row>
    <row r="760" spans="2:14" ht="15.75" customHeight="1">
      <c r="B760" s="66"/>
      <c r="J760" s="66"/>
      <c r="K760" s="134"/>
      <c r="L760" s="66"/>
      <c r="M760" s="66"/>
      <c r="N760" s="66"/>
    </row>
    <row r="761" spans="2:14" ht="15.75" customHeight="1">
      <c r="B761" s="66"/>
      <c r="J761" s="66"/>
      <c r="K761" s="134"/>
      <c r="L761" s="66"/>
      <c r="M761" s="66"/>
      <c r="N761" s="66"/>
    </row>
    <row r="762" spans="2:14" ht="15.75" customHeight="1">
      <c r="B762" s="66"/>
      <c r="J762" s="66"/>
      <c r="K762" s="134"/>
      <c r="L762" s="66"/>
      <c r="M762" s="66"/>
      <c r="N762" s="66"/>
    </row>
    <row r="763" spans="2:14" ht="15.75" customHeight="1">
      <c r="B763" s="66"/>
      <c r="J763" s="66"/>
      <c r="K763" s="134"/>
      <c r="L763" s="66"/>
      <c r="M763" s="66"/>
      <c r="N763" s="66"/>
    </row>
    <row r="764" spans="2:14" ht="15.75" customHeight="1">
      <c r="B764" s="66"/>
      <c r="J764" s="66"/>
      <c r="K764" s="134"/>
      <c r="L764" s="66"/>
      <c r="M764" s="66"/>
      <c r="N764" s="66"/>
    </row>
    <row r="765" spans="2:14" ht="15.75" customHeight="1">
      <c r="B765" s="66"/>
      <c r="J765" s="66"/>
      <c r="K765" s="134"/>
      <c r="L765" s="66"/>
      <c r="M765" s="66"/>
      <c r="N765" s="66"/>
    </row>
    <row r="766" spans="2:14" ht="15.75" customHeight="1">
      <c r="B766" s="66"/>
      <c r="J766" s="66"/>
      <c r="K766" s="134"/>
      <c r="L766" s="66"/>
      <c r="M766" s="66"/>
      <c r="N766" s="66"/>
    </row>
    <row r="767" spans="2:14" ht="15.75" customHeight="1">
      <c r="B767" s="66"/>
      <c r="J767" s="66"/>
      <c r="K767" s="134"/>
      <c r="L767" s="66"/>
      <c r="M767" s="66"/>
      <c r="N767" s="66"/>
    </row>
    <row r="768" spans="2:14" ht="15.75" customHeight="1">
      <c r="B768" s="66"/>
      <c r="J768" s="66"/>
      <c r="K768" s="134"/>
      <c r="L768" s="66"/>
      <c r="M768" s="66"/>
      <c r="N768" s="66"/>
    </row>
    <row r="769" spans="2:14" ht="15.75" customHeight="1">
      <c r="B769" s="66"/>
      <c r="J769" s="66"/>
      <c r="K769" s="134"/>
      <c r="L769" s="66"/>
      <c r="M769" s="66"/>
      <c r="N769" s="66"/>
    </row>
    <row r="770" spans="2:14" ht="15.75" customHeight="1">
      <c r="B770" s="66"/>
      <c r="J770" s="66"/>
      <c r="K770" s="134"/>
      <c r="L770" s="66"/>
      <c r="M770" s="66"/>
      <c r="N770" s="66"/>
    </row>
    <row r="771" spans="2:14" ht="15.75" customHeight="1">
      <c r="B771" s="66"/>
      <c r="J771" s="66"/>
      <c r="K771" s="134"/>
      <c r="L771" s="66"/>
      <c r="M771" s="66"/>
      <c r="N771" s="66"/>
    </row>
    <row r="772" spans="2:14" ht="15.75" customHeight="1">
      <c r="B772" s="66"/>
      <c r="J772" s="66"/>
      <c r="K772" s="134"/>
      <c r="L772" s="66"/>
      <c r="M772" s="66"/>
      <c r="N772" s="66"/>
    </row>
    <row r="773" spans="2:14" ht="15.75" customHeight="1">
      <c r="B773" s="66"/>
      <c r="J773" s="66"/>
      <c r="K773" s="134"/>
      <c r="L773" s="66"/>
      <c r="M773" s="66"/>
      <c r="N773" s="66"/>
    </row>
    <row r="774" spans="2:14" ht="15.75" customHeight="1">
      <c r="B774" s="66"/>
      <c r="J774" s="66"/>
      <c r="K774" s="134"/>
      <c r="L774" s="66"/>
      <c r="M774" s="66"/>
      <c r="N774" s="66"/>
    </row>
    <row r="775" spans="2:14" ht="15.75" customHeight="1">
      <c r="B775" s="66"/>
      <c r="J775" s="66"/>
      <c r="K775" s="134"/>
      <c r="L775" s="66"/>
      <c r="M775" s="66"/>
      <c r="N775" s="66"/>
    </row>
    <row r="776" spans="2:14" ht="15.75" customHeight="1">
      <c r="B776" s="66"/>
      <c r="J776" s="66"/>
      <c r="K776" s="134"/>
      <c r="L776" s="66"/>
      <c r="M776" s="66"/>
      <c r="N776" s="66"/>
    </row>
    <row r="777" spans="2:14" ht="15.75" customHeight="1">
      <c r="B777" s="66"/>
      <c r="J777" s="66"/>
      <c r="K777" s="134"/>
      <c r="L777" s="66"/>
      <c r="M777" s="66"/>
      <c r="N777" s="66"/>
    </row>
    <row r="778" spans="2:14" ht="15.75" customHeight="1">
      <c r="B778" s="66"/>
      <c r="J778" s="66"/>
      <c r="K778" s="134"/>
      <c r="L778" s="66"/>
      <c r="M778" s="66"/>
      <c r="N778" s="66"/>
    </row>
    <row r="779" spans="2:14" ht="15.75" customHeight="1">
      <c r="B779" s="66"/>
      <c r="J779" s="66"/>
      <c r="K779" s="134"/>
      <c r="L779" s="66"/>
      <c r="M779" s="66"/>
      <c r="N779" s="66"/>
    </row>
    <row r="780" spans="2:14" ht="15.75" customHeight="1">
      <c r="B780" s="66"/>
      <c r="J780" s="66"/>
      <c r="K780" s="134"/>
      <c r="L780" s="66"/>
      <c r="M780" s="66"/>
      <c r="N780" s="66"/>
    </row>
    <row r="781" spans="2:14" ht="15.75" customHeight="1">
      <c r="B781" s="66"/>
      <c r="J781" s="66"/>
      <c r="K781" s="134"/>
      <c r="L781" s="66"/>
      <c r="M781" s="66"/>
      <c r="N781" s="66"/>
    </row>
    <row r="782" spans="2:14" ht="15.75" customHeight="1">
      <c r="B782" s="66"/>
      <c r="J782" s="66"/>
      <c r="K782" s="134"/>
      <c r="L782" s="66"/>
      <c r="M782" s="66"/>
      <c r="N782" s="66"/>
    </row>
    <row r="783" spans="2:14" ht="15.75" customHeight="1">
      <c r="B783" s="66"/>
      <c r="J783" s="66"/>
      <c r="K783" s="134"/>
      <c r="L783" s="66"/>
      <c r="M783" s="66"/>
      <c r="N783" s="66"/>
    </row>
    <row r="784" spans="2:14" ht="15.75" customHeight="1">
      <c r="B784" s="66"/>
      <c r="J784" s="66"/>
      <c r="K784" s="134"/>
      <c r="L784" s="66"/>
      <c r="M784" s="66"/>
      <c r="N784" s="66"/>
    </row>
    <row r="785" spans="2:14" ht="15.75" customHeight="1">
      <c r="B785" s="66"/>
      <c r="J785" s="66"/>
      <c r="K785" s="134"/>
      <c r="L785" s="66"/>
      <c r="M785" s="66"/>
      <c r="N785" s="66"/>
    </row>
    <row r="786" spans="2:14" ht="15.75" customHeight="1">
      <c r="B786" s="66"/>
      <c r="J786" s="66"/>
      <c r="K786" s="134"/>
      <c r="L786" s="66"/>
      <c r="M786" s="66"/>
      <c r="N786" s="66"/>
    </row>
    <row r="787" spans="2:14" ht="15.75" customHeight="1">
      <c r="B787" s="66"/>
      <c r="J787" s="66"/>
      <c r="K787" s="134"/>
      <c r="L787" s="66"/>
      <c r="M787" s="66"/>
      <c r="N787" s="66"/>
    </row>
    <row r="788" spans="2:14" ht="15.75" customHeight="1">
      <c r="B788" s="66"/>
      <c r="J788" s="66"/>
      <c r="K788" s="134"/>
      <c r="L788" s="66"/>
      <c r="M788" s="66"/>
      <c r="N788" s="66"/>
    </row>
    <row r="789" spans="2:14" ht="15.75" customHeight="1">
      <c r="B789" s="66"/>
      <c r="J789" s="66"/>
      <c r="K789" s="134"/>
      <c r="L789" s="66"/>
      <c r="M789" s="66"/>
      <c r="N789" s="66"/>
    </row>
    <row r="790" spans="2:14" ht="15.75" customHeight="1">
      <c r="B790" s="66"/>
      <c r="J790" s="66"/>
      <c r="K790" s="134"/>
      <c r="L790" s="66"/>
      <c r="M790" s="66"/>
      <c r="N790" s="66"/>
    </row>
    <row r="791" spans="2:14" ht="15.75" customHeight="1">
      <c r="B791" s="66"/>
      <c r="J791" s="66"/>
      <c r="K791" s="134"/>
      <c r="L791" s="66"/>
      <c r="M791" s="66"/>
      <c r="N791" s="66"/>
    </row>
    <row r="792" spans="2:14" ht="15.75" customHeight="1">
      <c r="B792" s="66"/>
      <c r="J792" s="66"/>
      <c r="K792" s="134"/>
      <c r="L792" s="66"/>
      <c r="M792" s="66"/>
      <c r="N792" s="66"/>
    </row>
    <row r="793" spans="2:14" ht="15.75" customHeight="1">
      <c r="B793" s="66"/>
      <c r="J793" s="66"/>
      <c r="K793" s="134"/>
      <c r="L793" s="66"/>
      <c r="M793" s="66"/>
      <c r="N793" s="66"/>
    </row>
    <row r="794" spans="2:14" ht="15.75" customHeight="1">
      <c r="B794" s="66"/>
      <c r="J794" s="66"/>
      <c r="K794" s="134"/>
      <c r="L794" s="66"/>
      <c r="M794" s="66"/>
      <c r="N794" s="66"/>
    </row>
    <row r="795" spans="2:14" ht="15.75" customHeight="1">
      <c r="B795" s="66"/>
      <c r="J795" s="66"/>
      <c r="K795" s="134"/>
      <c r="L795" s="66"/>
      <c r="M795" s="66"/>
      <c r="N795" s="66"/>
    </row>
    <row r="796" spans="2:14" ht="15.75" customHeight="1">
      <c r="B796" s="66"/>
      <c r="J796" s="66"/>
      <c r="K796" s="134"/>
      <c r="L796" s="66"/>
      <c r="M796" s="66"/>
      <c r="N796" s="66"/>
    </row>
    <row r="797" spans="2:14" ht="15.75" customHeight="1">
      <c r="B797" s="66"/>
      <c r="J797" s="66"/>
      <c r="K797" s="134"/>
      <c r="L797" s="66"/>
      <c r="M797" s="66"/>
      <c r="N797" s="66"/>
    </row>
    <row r="798" spans="2:14" ht="15.75" customHeight="1">
      <c r="B798" s="66"/>
      <c r="J798" s="66"/>
      <c r="K798" s="134"/>
      <c r="L798" s="66"/>
      <c r="M798" s="66"/>
      <c r="N798" s="66"/>
    </row>
    <row r="799" spans="2:14" ht="15.75" customHeight="1">
      <c r="B799" s="66"/>
      <c r="J799" s="66"/>
      <c r="K799" s="134"/>
      <c r="L799" s="66"/>
      <c r="M799" s="66"/>
      <c r="N799" s="66"/>
    </row>
    <row r="800" spans="2:14" ht="15.75" customHeight="1">
      <c r="B800" s="66"/>
      <c r="J800" s="66"/>
      <c r="K800" s="134"/>
      <c r="L800" s="66"/>
      <c r="M800" s="66"/>
      <c r="N800" s="66"/>
    </row>
    <row r="801" spans="2:14" ht="15.75" customHeight="1">
      <c r="B801" s="66"/>
      <c r="J801" s="66"/>
      <c r="K801" s="134"/>
      <c r="L801" s="66"/>
      <c r="M801" s="66"/>
      <c r="N801" s="66"/>
    </row>
    <row r="802" spans="2:14" ht="15.75" customHeight="1">
      <c r="B802" s="66"/>
      <c r="J802" s="66"/>
      <c r="K802" s="134"/>
      <c r="L802" s="66"/>
      <c r="M802" s="66"/>
      <c r="N802" s="66"/>
    </row>
    <row r="803" spans="2:14" ht="15.75" customHeight="1">
      <c r="B803" s="66"/>
      <c r="J803" s="66"/>
      <c r="K803" s="134"/>
      <c r="L803" s="66"/>
      <c r="M803" s="66"/>
      <c r="N803" s="66"/>
    </row>
    <row r="804" spans="2:14" ht="15.75" customHeight="1">
      <c r="B804" s="66"/>
      <c r="J804" s="66"/>
      <c r="K804" s="134"/>
      <c r="L804" s="66"/>
      <c r="M804" s="66"/>
      <c r="N804" s="66"/>
    </row>
    <row r="805" spans="2:14" ht="15.75" customHeight="1">
      <c r="B805" s="66"/>
      <c r="J805" s="66"/>
      <c r="K805" s="134"/>
      <c r="L805" s="66"/>
      <c r="M805" s="66"/>
      <c r="N805" s="66"/>
    </row>
    <row r="806" spans="2:14" ht="15.75" customHeight="1">
      <c r="B806" s="66"/>
      <c r="J806" s="66"/>
      <c r="K806" s="134"/>
      <c r="L806" s="66"/>
      <c r="M806" s="66"/>
      <c r="N806" s="66"/>
    </row>
    <row r="807" spans="2:14" ht="15.75" customHeight="1">
      <c r="B807" s="66"/>
      <c r="J807" s="66"/>
      <c r="K807" s="134"/>
      <c r="L807" s="66"/>
      <c r="M807" s="66"/>
      <c r="N807" s="66"/>
    </row>
    <row r="808" spans="2:14" ht="15.75" customHeight="1">
      <c r="B808" s="66"/>
      <c r="J808" s="66"/>
      <c r="K808" s="134"/>
      <c r="L808" s="66"/>
      <c r="M808" s="66"/>
      <c r="N808" s="66"/>
    </row>
    <row r="809" spans="2:14" ht="15.75" customHeight="1">
      <c r="B809" s="66"/>
      <c r="J809" s="66"/>
      <c r="K809" s="134"/>
      <c r="L809" s="66"/>
      <c r="M809" s="66"/>
      <c r="N809" s="66"/>
    </row>
    <row r="810" spans="2:14" ht="15.75" customHeight="1">
      <c r="B810" s="66"/>
      <c r="J810" s="66"/>
      <c r="K810" s="134"/>
      <c r="L810" s="66"/>
      <c r="M810" s="66"/>
      <c r="N810" s="66"/>
    </row>
    <row r="811" spans="2:14" ht="15.75" customHeight="1">
      <c r="B811" s="66"/>
      <c r="J811" s="66"/>
      <c r="K811" s="134"/>
      <c r="L811" s="66"/>
      <c r="M811" s="66"/>
      <c r="N811" s="66"/>
    </row>
    <row r="812" spans="2:14" ht="15.75" customHeight="1">
      <c r="B812" s="66"/>
      <c r="J812" s="66"/>
      <c r="K812" s="134"/>
      <c r="L812" s="66"/>
      <c r="M812" s="66"/>
      <c r="N812" s="66"/>
    </row>
    <row r="813" spans="2:14" ht="15.75" customHeight="1">
      <c r="B813" s="66"/>
      <c r="J813" s="66"/>
      <c r="K813" s="134"/>
      <c r="L813" s="66"/>
      <c r="M813" s="66"/>
      <c r="N813" s="66"/>
    </row>
    <row r="814" spans="2:14" ht="15.75" customHeight="1">
      <c r="B814" s="66"/>
      <c r="J814" s="66"/>
      <c r="K814" s="134"/>
      <c r="L814" s="66"/>
      <c r="M814" s="66"/>
      <c r="N814" s="66"/>
    </row>
    <row r="815" spans="2:14" ht="15.75" customHeight="1">
      <c r="B815" s="66"/>
      <c r="J815" s="66"/>
      <c r="K815" s="134"/>
      <c r="L815" s="66"/>
      <c r="M815" s="66"/>
      <c r="N815" s="66"/>
    </row>
    <row r="816" spans="2:14" ht="15.75" customHeight="1">
      <c r="B816" s="66"/>
      <c r="J816" s="66"/>
      <c r="K816" s="134"/>
      <c r="L816" s="66"/>
      <c r="M816" s="66"/>
      <c r="N816" s="66"/>
    </row>
    <row r="817" spans="2:14" ht="15.75" customHeight="1">
      <c r="B817" s="66"/>
      <c r="J817" s="66"/>
      <c r="K817" s="134"/>
      <c r="L817" s="66"/>
      <c r="M817" s="66"/>
      <c r="N817" s="66"/>
    </row>
    <row r="818" spans="2:14" ht="15.75" customHeight="1">
      <c r="B818" s="66"/>
      <c r="J818" s="66"/>
      <c r="K818" s="134"/>
      <c r="L818" s="66"/>
      <c r="M818" s="66"/>
      <c r="N818" s="66"/>
    </row>
    <row r="819" spans="2:14" ht="15.75" customHeight="1">
      <c r="B819" s="66"/>
      <c r="J819" s="66"/>
      <c r="K819" s="134"/>
      <c r="L819" s="66"/>
      <c r="M819" s="66"/>
      <c r="N819" s="66"/>
    </row>
    <row r="820" spans="2:14" ht="15.75" customHeight="1">
      <c r="B820" s="66"/>
      <c r="J820" s="66"/>
      <c r="K820" s="134"/>
      <c r="L820" s="66"/>
      <c r="M820" s="66"/>
      <c r="N820" s="66"/>
    </row>
    <row r="821" spans="2:14" ht="15.75" customHeight="1">
      <c r="B821" s="66"/>
      <c r="J821" s="66"/>
      <c r="K821" s="134"/>
      <c r="L821" s="66"/>
      <c r="M821" s="66"/>
      <c r="N821" s="66"/>
    </row>
    <row r="822" spans="2:14" ht="15.75" customHeight="1">
      <c r="B822" s="66"/>
      <c r="J822" s="66"/>
      <c r="K822" s="134"/>
      <c r="L822" s="66"/>
      <c r="M822" s="66"/>
      <c r="N822" s="66"/>
    </row>
    <row r="823" spans="2:14" ht="15.75" customHeight="1">
      <c r="B823" s="66"/>
      <c r="J823" s="66"/>
      <c r="K823" s="134"/>
      <c r="L823" s="66"/>
      <c r="M823" s="66"/>
      <c r="N823" s="66"/>
    </row>
    <row r="824" spans="2:14" ht="15.75" customHeight="1">
      <c r="B824" s="66"/>
      <c r="J824" s="66"/>
      <c r="K824" s="134"/>
      <c r="L824" s="66"/>
      <c r="M824" s="66"/>
      <c r="N824" s="66"/>
    </row>
    <row r="825" spans="2:14" ht="15.75" customHeight="1">
      <c r="B825" s="66"/>
      <c r="J825" s="66"/>
      <c r="K825" s="134"/>
      <c r="L825" s="66"/>
      <c r="M825" s="66"/>
      <c r="N825" s="66"/>
    </row>
    <row r="826" spans="2:14" ht="15.75" customHeight="1">
      <c r="B826" s="66"/>
      <c r="J826" s="66"/>
      <c r="K826" s="134"/>
      <c r="L826" s="66"/>
      <c r="M826" s="66"/>
      <c r="N826" s="66"/>
    </row>
    <row r="827" spans="2:14" ht="15.75" customHeight="1">
      <c r="B827" s="66"/>
      <c r="J827" s="66"/>
      <c r="K827" s="134"/>
      <c r="L827" s="66"/>
      <c r="M827" s="66"/>
      <c r="N827" s="66"/>
    </row>
    <row r="828" spans="2:14" ht="15.75" customHeight="1">
      <c r="B828" s="66"/>
      <c r="J828" s="66"/>
      <c r="K828" s="134"/>
      <c r="L828" s="66"/>
      <c r="M828" s="66"/>
      <c r="N828" s="66"/>
    </row>
    <row r="829" spans="2:14" ht="15.75" customHeight="1">
      <c r="B829" s="66"/>
      <c r="J829" s="66"/>
      <c r="K829" s="134"/>
      <c r="L829" s="66"/>
      <c r="M829" s="66"/>
      <c r="N829" s="66"/>
    </row>
    <row r="830" spans="2:14" ht="15.75" customHeight="1">
      <c r="B830" s="66"/>
      <c r="J830" s="66"/>
      <c r="K830" s="134"/>
      <c r="L830" s="66"/>
      <c r="M830" s="66"/>
      <c r="N830" s="66"/>
    </row>
    <row r="831" spans="2:14" ht="15.75" customHeight="1">
      <c r="B831" s="66"/>
      <c r="J831" s="66"/>
      <c r="K831" s="134"/>
      <c r="L831" s="66"/>
      <c r="M831" s="66"/>
      <c r="N831" s="66"/>
    </row>
    <row r="832" spans="2:14" ht="15.75" customHeight="1">
      <c r="B832" s="66"/>
      <c r="J832" s="66"/>
      <c r="K832" s="134"/>
      <c r="L832" s="66"/>
      <c r="M832" s="66"/>
      <c r="N832" s="66"/>
    </row>
    <row r="833" spans="2:14" ht="15.75" customHeight="1">
      <c r="B833" s="66"/>
      <c r="J833" s="66"/>
      <c r="K833" s="134"/>
      <c r="L833" s="66"/>
      <c r="M833" s="66"/>
      <c r="N833" s="66"/>
    </row>
    <row r="834" spans="2:14" ht="15.75" customHeight="1">
      <c r="B834" s="66"/>
      <c r="J834" s="66"/>
      <c r="K834" s="134"/>
      <c r="L834" s="66"/>
      <c r="M834" s="66"/>
      <c r="N834" s="66"/>
    </row>
    <row r="835" spans="2:14" ht="15.75" customHeight="1">
      <c r="B835" s="66"/>
      <c r="J835" s="66"/>
      <c r="K835" s="134"/>
      <c r="L835" s="66"/>
      <c r="M835" s="66"/>
      <c r="N835" s="66"/>
    </row>
    <row r="836" spans="2:14" ht="15.75" customHeight="1">
      <c r="B836" s="66"/>
      <c r="J836" s="66"/>
      <c r="K836" s="134"/>
      <c r="L836" s="66"/>
      <c r="M836" s="66"/>
      <c r="N836" s="66"/>
    </row>
    <row r="837" spans="2:14" ht="15.75" customHeight="1">
      <c r="B837" s="66"/>
      <c r="J837" s="66"/>
      <c r="K837" s="134"/>
      <c r="L837" s="66"/>
      <c r="M837" s="66"/>
      <c r="N837" s="66"/>
    </row>
    <row r="838" spans="2:14" ht="15.75" customHeight="1">
      <c r="B838" s="66"/>
      <c r="J838" s="66"/>
      <c r="K838" s="134"/>
      <c r="L838" s="66"/>
      <c r="M838" s="66"/>
      <c r="N838" s="66"/>
    </row>
    <row r="839" spans="2:14" ht="15.75" customHeight="1">
      <c r="B839" s="66"/>
      <c r="J839" s="66"/>
      <c r="K839" s="134"/>
      <c r="L839" s="66"/>
      <c r="M839" s="66"/>
      <c r="N839" s="66"/>
    </row>
    <row r="840" spans="2:14" ht="15.75" customHeight="1">
      <c r="B840" s="66"/>
      <c r="J840" s="66"/>
      <c r="K840" s="134"/>
      <c r="L840" s="66"/>
      <c r="M840" s="66"/>
      <c r="N840" s="66"/>
    </row>
    <row r="841" spans="2:14" ht="15.75" customHeight="1">
      <c r="B841" s="66"/>
      <c r="J841" s="66"/>
      <c r="K841" s="134"/>
      <c r="L841" s="66"/>
      <c r="M841" s="66"/>
      <c r="N841" s="66"/>
    </row>
    <row r="842" spans="2:14" ht="15.75" customHeight="1">
      <c r="B842" s="66"/>
      <c r="J842" s="66"/>
      <c r="K842" s="134"/>
      <c r="L842" s="66"/>
      <c r="M842" s="66"/>
      <c r="N842" s="66"/>
    </row>
    <row r="843" spans="2:14" ht="15.75" customHeight="1">
      <c r="B843" s="66"/>
      <c r="J843" s="66"/>
      <c r="K843" s="134"/>
      <c r="L843" s="66"/>
      <c r="M843" s="66"/>
      <c r="N843" s="66"/>
    </row>
    <row r="844" spans="2:14" ht="15.75" customHeight="1">
      <c r="B844" s="66"/>
      <c r="J844" s="66"/>
      <c r="K844" s="134"/>
      <c r="L844" s="66"/>
      <c r="M844" s="66"/>
      <c r="N844" s="66"/>
    </row>
    <row r="845" spans="2:14" ht="15.75" customHeight="1">
      <c r="B845" s="66"/>
      <c r="J845" s="66"/>
      <c r="K845" s="134"/>
      <c r="L845" s="66"/>
      <c r="M845" s="66"/>
      <c r="N845" s="66"/>
    </row>
    <row r="846" spans="2:14" ht="15.75" customHeight="1">
      <c r="B846" s="66"/>
      <c r="J846" s="66"/>
      <c r="K846" s="134"/>
      <c r="L846" s="66"/>
      <c r="M846" s="66"/>
      <c r="N846" s="66"/>
    </row>
    <row r="847" spans="2:14" ht="15.75" customHeight="1">
      <c r="B847" s="66"/>
      <c r="J847" s="66"/>
      <c r="K847" s="134"/>
      <c r="L847" s="66"/>
      <c r="M847" s="66"/>
      <c r="N847" s="66"/>
    </row>
    <row r="848" spans="2:14" ht="15.75" customHeight="1">
      <c r="B848" s="66"/>
      <c r="J848" s="66"/>
      <c r="K848" s="134"/>
      <c r="L848" s="66"/>
      <c r="M848" s="66"/>
      <c r="N848" s="66"/>
    </row>
    <row r="849" spans="2:14" ht="15.75" customHeight="1">
      <c r="B849" s="66"/>
      <c r="J849" s="66"/>
      <c r="K849" s="134"/>
      <c r="L849" s="66"/>
      <c r="M849" s="66"/>
      <c r="N849" s="66"/>
    </row>
    <row r="850" spans="2:14" ht="15.75" customHeight="1">
      <c r="B850" s="66"/>
      <c r="J850" s="66"/>
      <c r="K850" s="134"/>
      <c r="L850" s="66"/>
      <c r="M850" s="66"/>
      <c r="N850" s="66"/>
    </row>
    <row r="851" spans="2:14" ht="15.75" customHeight="1">
      <c r="B851" s="66"/>
      <c r="J851" s="66"/>
      <c r="K851" s="134"/>
      <c r="L851" s="66"/>
      <c r="M851" s="66"/>
      <c r="N851" s="66"/>
    </row>
    <row r="852" spans="2:14" ht="15.75" customHeight="1">
      <c r="B852" s="66"/>
      <c r="J852" s="66"/>
      <c r="K852" s="134"/>
      <c r="L852" s="66"/>
      <c r="M852" s="66"/>
      <c r="N852" s="66"/>
    </row>
    <row r="853" spans="2:14" ht="15.75" customHeight="1">
      <c r="B853" s="66"/>
      <c r="J853" s="66"/>
      <c r="K853" s="134"/>
      <c r="L853" s="66"/>
      <c r="M853" s="66"/>
      <c r="N853" s="66"/>
    </row>
    <row r="854" spans="2:14" ht="15.75" customHeight="1">
      <c r="B854" s="66"/>
      <c r="J854" s="66"/>
      <c r="K854" s="134"/>
      <c r="L854" s="66"/>
      <c r="M854" s="66"/>
      <c r="N854" s="66"/>
    </row>
    <row r="855" spans="2:14" ht="15.75" customHeight="1">
      <c r="B855" s="66"/>
      <c r="J855" s="66"/>
      <c r="K855" s="134"/>
      <c r="L855" s="66"/>
      <c r="M855" s="66"/>
      <c r="N855" s="66"/>
    </row>
    <row r="856" spans="2:14" ht="15.75" customHeight="1">
      <c r="B856" s="66"/>
      <c r="J856" s="66"/>
      <c r="K856" s="134"/>
      <c r="L856" s="66"/>
      <c r="M856" s="66"/>
      <c r="N856" s="66"/>
    </row>
    <row r="857" spans="2:14" ht="15.75" customHeight="1">
      <c r="B857" s="66"/>
      <c r="J857" s="66"/>
      <c r="K857" s="134"/>
      <c r="L857" s="66"/>
      <c r="M857" s="66"/>
      <c r="N857" s="66"/>
    </row>
    <row r="858" spans="2:14" ht="15.75" customHeight="1">
      <c r="B858" s="66"/>
      <c r="J858" s="66"/>
      <c r="K858" s="134"/>
      <c r="L858" s="66"/>
      <c r="M858" s="66"/>
      <c r="N858" s="66"/>
    </row>
    <row r="859" spans="2:14" ht="15.75" customHeight="1">
      <c r="B859" s="66"/>
      <c r="J859" s="66"/>
      <c r="K859" s="134"/>
      <c r="L859" s="66"/>
      <c r="M859" s="66"/>
      <c r="N859" s="66"/>
    </row>
    <row r="860" spans="2:14" ht="15.75" customHeight="1">
      <c r="B860" s="66"/>
      <c r="J860" s="66"/>
      <c r="K860" s="134"/>
      <c r="L860" s="66"/>
      <c r="M860" s="66"/>
      <c r="N860" s="66"/>
    </row>
    <row r="861" spans="2:14" ht="15.75" customHeight="1">
      <c r="B861" s="66"/>
      <c r="J861" s="66"/>
      <c r="K861" s="134"/>
      <c r="L861" s="66"/>
      <c r="M861" s="66"/>
      <c r="N861" s="66"/>
    </row>
    <row r="862" spans="2:14" ht="15.75" customHeight="1">
      <c r="B862" s="66"/>
      <c r="J862" s="66"/>
      <c r="K862" s="134"/>
      <c r="L862" s="66"/>
      <c r="M862" s="66"/>
      <c r="N862" s="66"/>
    </row>
    <row r="863" spans="2:14" ht="15.75" customHeight="1">
      <c r="B863" s="66"/>
      <c r="J863" s="66"/>
      <c r="K863" s="134"/>
      <c r="L863" s="66"/>
      <c r="M863" s="66"/>
      <c r="N863" s="66"/>
    </row>
    <row r="864" spans="2:14" ht="15.75" customHeight="1">
      <c r="B864" s="66"/>
      <c r="J864" s="66"/>
      <c r="K864" s="134"/>
      <c r="L864" s="66"/>
      <c r="M864" s="66"/>
      <c r="N864" s="66"/>
    </row>
    <row r="865" spans="2:14" ht="15.75" customHeight="1">
      <c r="B865" s="66"/>
      <c r="J865" s="66"/>
      <c r="K865" s="134"/>
      <c r="L865" s="66"/>
      <c r="M865" s="66"/>
      <c r="N865" s="66"/>
    </row>
    <row r="866" spans="2:14" ht="15.75" customHeight="1">
      <c r="B866" s="66"/>
      <c r="J866" s="66"/>
      <c r="K866" s="134"/>
      <c r="L866" s="66"/>
      <c r="M866" s="66"/>
      <c r="N866" s="66"/>
    </row>
    <row r="867" spans="2:14" ht="15.75" customHeight="1">
      <c r="B867" s="66"/>
      <c r="J867" s="66"/>
      <c r="K867" s="134"/>
      <c r="L867" s="66"/>
      <c r="M867" s="66"/>
      <c r="N867" s="66"/>
    </row>
    <row r="868" spans="2:14" ht="15.75" customHeight="1">
      <c r="B868" s="66"/>
      <c r="J868" s="66"/>
      <c r="K868" s="134"/>
      <c r="L868" s="66"/>
      <c r="M868" s="66"/>
      <c r="N868" s="66"/>
    </row>
    <row r="869" spans="2:14" ht="15.75" customHeight="1">
      <c r="B869" s="66"/>
      <c r="J869" s="66"/>
      <c r="K869" s="134"/>
      <c r="L869" s="66"/>
      <c r="M869" s="66"/>
      <c r="N869" s="66"/>
    </row>
    <row r="870" spans="2:14" ht="15.75" customHeight="1">
      <c r="B870" s="66"/>
      <c r="J870" s="66"/>
      <c r="K870" s="134"/>
      <c r="L870" s="66"/>
      <c r="M870" s="66"/>
      <c r="N870" s="66"/>
    </row>
    <row r="871" spans="2:14" ht="15.75" customHeight="1">
      <c r="B871" s="66"/>
      <c r="J871" s="66"/>
      <c r="K871" s="134"/>
      <c r="L871" s="66"/>
      <c r="M871" s="66"/>
      <c r="N871" s="66"/>
    </row>
    <row r="872" spans="2:14" ht="15.75" customHeight="1">
      <c r="B872" s="66"/>
      <c r="J872" s="66"/>
      <c r="K872" s="134"/>
      <c r="L872" s="66"/>
      <c r="M872" s="66"/>
      <c r="N872" s="66"/>
    </row>
    <row r="873" spans="2:14" ht="15.75" customHeight="1">
      <c r="B873" s="66"/>
      <c r="J873" s="66"/>
      <c r="K873" s="134"/>
      <c r="L873" s="66"/>
      <c r="M873" s="66"/>
      <c r="N873" s="66"/>
    </row>
    <row r="874" spans="2:14" ht="15.75" customHeight="1">
      <c r="B874" s="66"/>
      <c r="J874" s="66"/>
      <c r="K874" s="134"/>
      <c r="L874" s="66"/>
      <c r="M874" s="66"/>
      <c r="N874" s="66"/>
    </row>
    <row r="875" spans="2:14" ht="15.75" customHeight="1">
      <c r="B875" s="66"/>
      <c r="J875" s="66"/>
      <c r="K875" s="134"/>
      <c r="L875" s="66"/>
      <c r="M875" s="66"/>
      <c r="N875" s="66"/>
    </row>
    <row r="876" spans="2:14" ht="15.75" customHeight="1">
      <c r="B876" s="66"/>
      <c r="J876" s="66"/>
      <c r="K876" s="134"/>
      <c r="L876" s="66"/>
      <c r="M876" s="66"/>
      <c r="N876" s="66"/>
    </row>
    <row r="877" spans="2:14" ht="15.75" customHeight="1">
      <c r="B877" s="66"/>
      <c r="J877" s="66"/>
      <c r="K877" s="134"/>
      <c r="L877" s="66"/>
      <c r="M877" s="66"/>
      <c r="N877" s="66"/>
    </row>
    <row r="878" spans="2:14" ht="15.75" customHeight="1">
      <c r="B878" s="66"/>
      <c r="J878" s="66"/>
      <c r="K878" s="134"/>
      <c r="L878" s="66"/>
      <c r="M878" s="66"/>
      <c r="N878" s="66"/>
    </row>
    <row r="879" spans="2:14" ht="15.75" customHeight="1">
      <c r="B879" s="66"/>
      <c r="J879" s="66"/>
      <c r="K879" s="134"/>
      <c r="L879" s="66"/>
      <c r="M879" s="66"/>
      <c r="N879" s="66"/>
    </row>
    <row r="880" spans="2:14" ht="15.75" customHeight="1">
      <c r="B880" s="66"/>
      <c r="J880" s="66"/>
      <c r="K880" s="134"/>
      <c r="L880" s="66"/>
      <c r="M880" s="66"/>
      <c r="N880" s="66"/>
    </row>
    <row r="881" spans="2:14" ht="15.75" customHeight="1">
      <c r="B881" s="66"/>
      <c r="J881" s="66"/>
      <c r="K881" s="134"/>
      <c r="L881" s="66"/>
      <c r="M881" s="66"/>
      <c r="N881" s="66"/>
    </row>
    <row r="882" spans="2:14" ht="15.75" customHeight="1">
      <c r="B882" s="66"/>
      <c r="J882" s="66"/>
      <c r="K882" s="134"/>
      <c r="L882" s="66"/>
      <c r="M882" s="66"/>
      <c r="N882" s="66"/>
    </row>
    <row r="883" spans="2:14" ht="15.75" customHeight="1">
      <c r="B883" s="66"/>
      <c r="J883" s="66"/>
      <c r="K883" s="134"/>
      <c r="L883" s="66"/>
      <c r="M883" s="66"/>
      <c r="N883" s="66"/>
    </row>
    <row r="884" spans="2:14" ht="15.75" customHeight="1">
      <c r="B884" s="66"/>
      <c r="J884" s="66"/>
      <c r="K884" s="134"/>
      <c r="L884" s="66"/>
      <c r="M884" s="66"/>
      <c r="N884" s="66"/>
    </row>
    <row r="885" spans="2:14" ht="15.75" customHeight="1">
      <c r="B885" s="66"/>
      <c r="J885" s="66"/>
      <c r="K885" s="134"/>
      <c r="L885" s="66"/>
      <c r="M885" s="66"/>
      <c r="N885" s="66"/>
    </row>
    <row r="886" spans="2:14" ht="15.75" customHeight="1">
      <c r="B886" s="66"/>
      <c r="J886" s="66"/>
      <c r="K886" s="134"/>
      <c r="L886" s="66"/>
      <c r="M886" s="66"/>
      <c r="N886" s="66"/>
    </row>
    <row r="887" spans="2:14" ht="15.75" customHeight="1">
      <c r="B887" s="66"/>
      <c r="J887" s="66"/>
      <c r="K887" s="134"/>
      <c r="L887" s="66"/>
      <c r="M887" s="66"/>
      <c r="N887" s="66"/>
    </row>
    <row r="888" spans="2:14" ht="15.75" customHeight="1">
      <c r="B888" s="66"/>
      <c r="J888" s="66"/>
      <c r="K888" s="134"/>
      <c r="L888" s="66"/>
      <c r="M888" s="66"/>
      <c r="N888" s="66"/>
    </row>
    <row r="889" spans="2:14" ht="15.75" customHeight="1">
      <c r="B889" s="66"/>
      <c r="J889" s="66"/>
      <c r="K889" s="134"/>
      <c r="L889" s="66"/>
      <c r="M889" s="66"/>
      <c r="N889" s="66"/>
    </row>
    <row r="890" spans="2:14" ht="15.75" customHeight="1">
      <c r="B890" s="66"/>
      <c r="J890" s="66"/>
      <c r="K890" s="134"/>
      <c r="L890" s="66"/>
      <c r="M890" s="66"/>
      <c r="N890" s="66"/>
    </row>
    <row r="891" spans="2:14" ht="15.75" customHeight="1">
      <c r="B891" s="66"/>
      <c r="J891" s="66"/>
      <c r="K891" s="134"/>
      <c r="L891" s="66"/>
      <c r="M891" s="66"/>
      <c r="N891" s="66"/>
    </row>
    <row r="892" spans="2:14" ht="15.75" customHeight="1">
      <c r="B892" s="66"/>
      <c r="J892" s="66"/>
      <c r="K892" s="134"/>
      <c r="L892" s="66"/>
      <c r="M892" s="66"/>
      <c r="N892" s="66"/>
    </row>
    <row r="893" spans="2:14" ht="15.75" customHeight="1">
      <c r="B893" s="66"/>
      <c r="J893" s="66"/>
      <c r="K893" s="134"/>
      <c r="L893" s="66"/>
      <c r="M893" s="66"/>
      <c r="N893" s="66"/>
    </row>
    <row r="894" spans="2:14" ht="15.75" customHeight="1">
      <c r="B894" s="66"/>
      <c r="J894" s="66"/>
      <c r="K894" s="134"/>
      <c r="L894" s="66"/>
      <c r="M894" s="66"/>
      <c r="N894" s="66"/>
    </row>
    <row r="895" spans="2:14" ht="15.75" customHeight="1">
      <c r="B895" s="66"/>
      <c r="J895" s="66"/>
      <c r="K895" s="134"/>
      <c r="L895" s="66"/>
      <c r="M895" s="66"/>
      <c r="N895" s="66"/>
    </row>
    <row r="896" spans="2:14" ht="15.75" customHeight="1">
      <c r="B896" s="66"/>
      <c r="J896" s="66"/>
      <c r="K896" s="134"/>
      <c r="L896" s="66"/>
      <c r="M896" s="66"/>
      <c r="N896" s="66"/>
    </row>
    <row r="897" spans="2:14" ht="15.75" customHeight="1">
      <c r="B897" s="66"/>
      <c r="J897" s="66"/>
      <c r="K897" s="134"/>
      <c r="L897" s="66"/>
      <c r="M897" s="66"/>
      <c r="N897" s="66"/>
    </row>
    <row r="898" spans="2:14" ht="15.75" customHeight="1">
      <c r="B898" s="66"/>
      <c r="J898" s="66"/>
      <c r="K898" s="134"/>
      <c r="L898" s="66"/>
      <c r="M898" s="66"/>
      <c r="N898" s="66"/>
    </row>
    <row r="899" spans="2:14" ht="15.75" customHeight="1">
      <c r="B899" s="66"/>
      <c r="J899" s="66"/>
      <c r="K899" s="134"/>
      <c r="L899" s="66"/>
      <c r="M899" s="66"/>
      <c r="N899" s="66"/>
    </row>
    <row r="900" spans="2:14" ht="15.75" customHeight="1">
      <c r="B900" s="66"/>
      <c r="J900" s="66"/>
      <c r="K900" s="134"/>
      <c r="L900" s="66"/>
      <c r="M900" s="66"/>
      <c r="N900" s="66"/>
    </row>
    <row r="901" spans="2:14" ht="15.75" customHeight="1">
      <c r="B901" s="66"/>
      <c r="J901" s="66"/>
      <c r="K901" s="134"/>
      <c r="L901" s="66"/>
      <c r="M901" s="66"/>
      <c r="N901" s="66"/>
    </row>
    <row r="902" spans="2:14" ht="15.75" customHeight="1">
      <c r="B902" s="66"/>
      <c r="J902" s="66"/>
      <c r="K902" s="134"/>
      <c r="L902" s="66"/>
      <c r="M902" s="66"/>
      <c r="N902" s="66"/>
    </row>
    <row r="903" spans="2:14" ht="15.75" customHeight="1">
      <c r="B903" s="66"/>
      <c r="J903" s="66"/>
      <c r="K903" s="134"/>
      <c r="L903" s="66"/>
      <c r="M903" s="66"/>
      <c r="N903" s="66"/>
    </row>
    <row r="904" spans="2:14" ht="15.75" customHeight="1">
      <c r="B904" s="66"/>
      <c r="J904" s="66"/>
      <c r="K904" s="134"/>
      <c r="L904" s="66"/>
      <c r="M904" s="66"/>
      <c r="N904" s="66"/>
    </row>
    <row r="905" spans="2:14" ht="15.75" customHeight="1">
      <c r="B905" s="66"/>
      <c r="J905" s="66"/>
      <c r="K905" s="134"/>
      <c r="L905" s="66"/>
      <c r="M905" s="66"/>
      <c r="N905" s="66"/>
    </row>
    <row r="906" spans="2:14" ht="15.75" customHeight="1">
      <c r="B906" s="66"/>
      <c r="J906" s="66"/>
      <c r="K906" s="134"/>
      <c r="L906" s="66"/>
      <c r="M906" s="66"/>
      <c r="N906" s="66"/>
    </row>
    <row r="907" spans="2:14" ht="15.75" customHeight="1">
      <c r="B907" s="66"/>
      <c r="J907" s="66"/>
      <c r="K907" s="134"/>
      <c r="L907" s="66"/>
      <c r="M907" s="66"/>
      <c r="N907" s="66"/>
    </row>
    <row r="908" spans="2:14" ht="15.75" customHeight="1">
      <c r="B908" s="66"/>
      <c r="J908" s="66"/>
      <c r="K908" s="134"/>
      <c r="L908" s="66"/>
      <c r="M908" s="66"/>
      <c r="N908" s="66"/>
    </row>
    <row r="909" spans="2:14" ht="15.75" customHeight="1">
      <c r="B909" s="66"/>
      <c r="J909" s="66"/>
      <c r="K909" s="134"/>
      <c r="L909" s="66"/>
      <c r="M909" s="66"/>
      <c r="N909" s="66"/>
    </row>
    <row r="910" spans="2:14" ht="15.75" customHeight="1">
      <c r="B910" s="66"/>
      <c r="J910" s="66"/>
      <c r="K910" s="134"/>
      <c r="L910" s="66"/>
      <c r="M910" s="66"/>
      <c r="N910" s="66"/>
    </row>
    <row r="911" spans="2:14" ht="15.75" customHeight="1">
      <c r="B911" s="66"/>
      <c r="J911" s="66"/>
      <c r="K911" s="134"/>
      <c r="L911" s="66"/>
      <c r="M911" s="66"/>
      <c r="N911" s="66"/>
    </row>
    <row r="912" spans="2:14" ht="15.75" customHeight="1">
      <c r="B912" s="66"/>
      <c r="J912" s="66"/>
      <c r="K912" s="134"/>
      <c r="L912" s="66"/>
      <c r="M912" s="66"/>
      <c r="N912" s="66"/>
    </row>
    <row r="913" spans="2:14" ht="15.75" customHeight="1">
      <c r="B913" s="66"/>
      <c r="J913" s="66"/>
      <c r="K913" s="134"/>
      <c r="L913" s="66"/>
      <c r="M913" s="66"/>
      <c r="N913" s="66"/>
    </row>
    <row r="914" spans="2:14" ht="15.75" customHeight="1">
      <c r="B914" s="66"/>
      <c r="J914" s="66"/>
      <c r="K914" s="134"/>
      <c r="L914" s="66"/>
      <c r="M914" s="66"/>
      <c r="N914" s="66"/>
    </row>
    <row r="915" spans="2:14" ht="15.75" customHeight="1">
      <c r="B915" s="66"/>
      <c r="J915" s="66"/>
      <c r="K915" s="134"/>
      <c r="L915" s="66"/>
      <c r="M915" s="66"/>
      <c r="N915" s="66"/>
    </row>
    <row r="916" spans="2:14" ht="15.75" customHeight="1">
      <c r="B916" s="66"/>
      <c r="J916" s="66"/>
      <c r="K916" s="134"/>
      <c r="L916" s="66"/>
      <c r="M916" s="66"/>
      <c r="N916" s="66"/>
    </row>
    <row r="917" spans="2:14" ht="15.75" customHeight="1">
      <c r="B917" s="66"/>
      <c r="J917" s="66"/>
      <c r="K917" s="134"/>
      <c r="L917" s="66"/>
      <c r="M917" s="66"/>
      <c r="N917" s="66"/>
    </row>
    <row r="918" spans="2:14" ht="15.75" customHeight="1">
      <c r="B918" s="66"/>
      <c r="J918" s="66"/>
      <c r="K918" s="134"/>
      <c r="L918" s="66"/>
      <c r="M918" s="66"/>
      <c r="N918" s="66"/>
    </row>
    <row r="919" spans="2:14" ht="15.75" customHeight="1">
      <c r="B919" s="66"/>
      <c r="J919" s="66"/>
      <c r="K919" s="134"/>
      <c r="L919" s="66"/>
      <c r="M919" s="66"/>
      <c r="N919" s="66"/>
    </row>
    <row r="920" spans="2:14" ht="15.75" customHeight="1">
      <c r="B920" s="66"/>
      <c r="J920" s="66"/>
      <c r="K920" s="134"/>
      <c r="L920" s="66"/>
      <c r="M920" s="66"/>
      <c r="N920" s="66"/>
    </row>
    <row r="921" spans="2:14" ht="15.75" customHeight="1">
      <c r="B921" s="66"/>
      <c r="J921" s="66"/>
      <c r="K921" s="134"/>
      <c r="L921" s="66"/>
      <c r="M921" s="66"/>
      <c r="N921" s="66"/>
    </row>
    <row r="922" spans="2:14" ht="15.75" customHeight="1">
      <c r="B922" s="66"/>
      <c r="J922" s="66"/>
      <c r="K922" s="134"/>
      <c r="L922" s="66"/>
      <c r="M922" s="66"/>
      <c r="N922" s="66"/>
    </row>
    <row r="923" spans="2:14" ht="15.75" customHeight="1">
      <c r="B923" s="66"/>
      <c r="J923" s="66"/>
      <c r="K923" s="134"/>
      <c r="L923" s="66"/>
      <c r="M923" s="66"/>
      <c r="N923" s="66"/>
    </row>
    <row r="924" spans="2:14" ht="15.75" customHeight="1">
      <c r="B924" s="66"/>
      <c r="J924" s="66"/>
      <c r="K924" s="134"/>
      <c r="L924" s="66"/>
      <c r="M924" s="66"/>
      <c r="N924" s="66"/>
    </row>
    <row r="925" spans="2:14" ht="15.75" customHeight="1">
      <c r="B925" s="66"/>
      <c r="J925" s="66"/>
      <c r="K925" s="134"/>
      <c r="L925" s="66"/>
      <c r="M925" s="66"/>
      <c r="N925" s="66"/>
    </row>
    <row r="926" spans="2:14" ht="15.75" customHeight="1">
      <c r="B926" s="66"/>
      <c r="J926" s="66"/>
      <c r="K926" s="134"/>
      <c r="L926" s="66"/>
      <c r="M926" s="66"/>
      <c r="N926" s="66"/>
    </row>
    <row r="927" spans="2:14" ht="15.75" customHeight="1">
      <c r="B927" s="66"/>
      <c r="J927" s="66"/>
      <c r="K927" s="134"/>
      <c r="L927" s="66"/>
      <c r="M927" s="66"/>
      <c r="N927" s="66"/>
    </row>
    <row r="928" spans="2:14" ht="15.75" customHeight="1">
      <c r="B928" s="66"/>
      <c r="J928" s="66"/>
      <c r="K928" s="134"/>
      <c r="L928" s="66"/>
      <c r="M928" s="66"/>
      <c r="N928" s="66"/>
    </row>
    <row r="929" spans="2:14" ht="15.75" customHeight="1">
      <c r="B929" s="66"/>
      <c r="J929" s="66"/>
      <c r="K929" s="134"/>
      <c r="L929" s="66"/>
      <c r="M929" s="66"/>
      <c r="N929" s="66"/>
    </row>
    <row r="930" spans="2:14" ht="15.75" customHeight="1">
      <c r="B930" s="66"/>
      <c r="J930" s="66"/>
      <c r="K930" s="134"/>
      <c r="L930" s="66"/>
      <c r="M930" s="66"/>
      <c r="N930" s="66"/>
    </row>
    <row r="931" spans="2:14" ht="15.75" customHeight="1">
      <c r="B931" s="66"/>
      <c r="J931" s="66"/>
      <c r="K931" s="134"/>
      <c r="L931" s="66"/>
      <c r="M931" s="66"/>
      <c r="N931" s="66"/>
    </row>
    <row r="932" spans="2:14" ht="15.75" customHeight="1">
      <c r="B932" s="66"/>
      <c r="J932" s="66"/>
      <c r="K932" s="134"/>
      <c r="L932" s="66"/>
      <c r="M932" s="66"/>
      <c r="N932" s="66"/>
    </row>
    <row r="933" spans="2:14" ht="15.75" customHeight="1">
      <c r="B933" s="66"/>
      <c r="J933" s="66"/>
      <c r="K933" s="134"/>
      <c r="L933" s="66"/>
      <c r="M933" s="66"/>
      <c r="N933" s="66"/>
    </row>
    <row r="934" spans="2:14" ht="15.75" customHeight="1">
      <c r="B934" s="66"/>
      <c r="J934" s="66"/>
      <c r="K934" s="134"/>
      <c r="L934" s="66"/>
      <c r="M934" s="66"/>
      <c r="N934" s="66"/>
    </row>
    <row r="935" spans="2:14" ht="15.75" customHeight="1">
      <c r="B935" s="66"/>
      <c r="J935" s="66"/>
      <c r="K935" s="134"/>
      <c r="L935" s="66"/>
      <c r="M935" s="66"/>
      <c r="N935" s="66"/>
    </row>
    <row r="936" spans="2:14" ht="15.75" customHeight="1">
      <c r="B936" s="66"/>
      <c r="J936" s="66"/>
      <c r="K936" s="134"/>
      <c r="L936" s="66"/>
      <c r="M936" s="66"/>
      <c r="N936" s="66"/>
    </row>
    <row r="937" spans="2:14" ht="15.75" customHeight="1">
      <c r="B937" s="66"/>
      <c r="J937" s="66"/>
      <c r="K937" s="134"/>
      <c r="L937" s="66"/>
      <c r="M937" s="66"/>
      <c r="N937" s="66"/>
    </row>
    <row r="938" spans="2:14" ht="15.75" customHeight="1">
      <c r="B938" s="66"/>
      <c r="J938" s="66"/>
      <c r="K938" s="134"/>
      <c r="L938" s="66"/>
      <c r="M938" s="66"/>
      <c r="N938" s="66"/>
    </row>
    <row r="939" spans="2:14" ht="15.75" customHeight="1">
      <c r="B939" s="66"/>
      <c r="J939" s="66"/>
      <c r="K939" s="134"/>
      <c r="L939" s="66"/>
      <c r="M939" s="66"/>
      <c r="N939" s="66"/>
    </row>
    <row r="940" spans="2:14" ht="15.75" customHeight="1">
      <c r="B940" s="66"/>
      <c r="J940" s="66"/>
      <c r="K940" s="134"/>
      <c r="L940" s="66"/>
      <c r="M940" s="66"/>
      <c r="N940" s="66"/>
    </row>
    <row r="941" spans="2:14" ht="15.75" customHeight="1">
      <c r="B941" s="66"/>
      <c r="J941" s="66"/>
      <c r="K941" s="134"/>
      <c r="L941" s="66"/>
      <c r="M941" s="66"/>
      <c r="N941" s="66"/>
    </row>
    <row r="942" spans="2:14" ht="15.75" customHeight="1">
      <c r="B942" s="66"/>
      <c r="J942" s="66"/>
      <c r="K942" s="134"/>
      <c r="L942" s="66"/>
      <c r="M942" s="66"/>
      <c r="N942" s="66"/>
    </row>
    <row r="943" spans="2:14" ht="15.75" customHeight="1">
      <c r="B943" s="66"/>
      <c r="J943" s="66"/>
      <c r="K943" s="134"/>
      <c r="L943" s="66"/>
      <c r="M943" s="66"/>
      <c r="N943" s="66"/>
    </row>
    <row r="944" spans="2:14" ht="15.75" customHeight="1">
      <c r="B944" s="66"/>
      <c r="J944" s="66"/>
      <c r="K944" s="134"/>
      <c r="L944" s="66"/>
      <c r="M944" s="66"/>
      <c r="N944" s="66"/>
    </row>
    <row r="945" spans="2:14" ht="15.75" customHeight="1">
      <c r="B945" s="66"/>
      <c r="J945" s="66"/>
      <c r="K945" s="134"/>
      <c r="L945" s="66"/>
      <c r="M945" s="66"/>
      <c r="N945" s="66"/>
    </row>
    <row r="946" spans="2:14" ht="15.75" customHeight="1">
      <c r="B946" s="66"/>
      <c r="J946" s="66"/>
      <c r="K946" s="134"/>
      <c r="L946" s="66"/>
      <c r="M946" s="66"/>
      <c r="N946" s="66"/>
    </row>
    <row r="947" spans="2:14" ht="15.75" customHeight="1">
      <c r="B947" s="66"/>
      <c r="J947" s="66"/>
      <c r="K947" s="134"/>
      <c r="L947" s="66"/>
      <c r="M947" s="66"/>
      <c r="N947" s="66"/>
    </row>
    <row r="948" spans="2:14" ht="15.75" customHeight="1">
      <c r="B948" s="66"/>
      <c r="J948" s="66"/>
      <c r="K948" s="134"/>
      <c r="L948" s="66"/>
      <c r="M948" s="66"/>
      <c r="N948" s="66"/>
    </row>
    <row r="949" spans="2:14" ht="15.75" customHeight="1">
      <c r="B949" s="66"/>
      <c r="J949" s="66"/>
      <c r="K949" s="134"/>
      <c r="L949" s="66"/>
      <c r="M949" s="66"/>
      <c r="N949" s="66"/>
    </row>
    <row r="950" spans="2:14" ht="15.75" customHeight="1">
      <c r="B950" s="66"/>
      <c r="J950" s="66"/>
      <c r="K950" s="134"/>
      <c r="L950" s="66"/>
      <c r="M950" s="66"/>
      <c r="N950" s="66"/>
    </row>
    <row r="951" spans="2:14" ht="15.75" customHeight="1">
      <c r="B951" s="66"/>
      <c r="J951" s="66"/>
      <c r="K951" s="134"/>
      <c r="L951" s="66"/>
      <c r="M951" s="66"/>
      <c r="N951" s="66"/>
    </row>
    <row r="952" spans="2:14" ht="15.75" customHeight="1">
      <c r="B952" s="66"/>
      <c r="J952" s="66"/>
      <c r="K952" s="134"/>
      <c r="L952" s="66"/>
      <c r="M952" s="66"/>
      <c r="N952" s="66"/>
    </row>
    <row r="953" spans="2:14" ht="15.75" customHeight="1">
      <c r="B953" s="66"/>
      <c r="J953" s="66"/>
      <c r="K953" s="134"/>
      <c r="L953" s="66"/>
      <c r="M953" s="66"/>
      <c r="N953" s="66"/>
    </row>
    <row r="954" spans="2:14" ht="15.75" customHeight="1">
      <c r="B954" s="66"/>
      <c r="J954" s="66"/>
      <c r="K954" s="134"/>
      <c r="L954" s="66"/>
      <c r="M954" s="66"/>
      <c r="N954" s="66"/>
    </row>
    <row r="955" spans="2:14" ht="15.75" customHeight="1">
      <c r="B955" s="66"/>
      <c r="J955" s="66"/>
      <c r="K955" s="134"/>
      <c r="L955" s="66"/>
      <c r="M955" s="66"/>
      <c r="N955" s="66"/>
    </row>
    <row r="956" spans="2:14" ht="15.75" customHeight="1">
      <c r="B956" s="66"/>
      <c r="J956" s="66"/>
      <c r="K956" s="134"/>
      <c r="L956" s="66"/>
      <c r="M956" s="66"/>
      <c r="N956" s="66"/>
    </row>
    <row r="957" spans="2:14" ht="15.75" customHeight="1">
      <c r="B957" s="66"/>
      <c r="J957" s="66"/>
      <c r="K957" s="134"/>
      <c r="L957" s="66"/>
      <c r="M957" s="66"/>
      <c r="N957" s="66"/>
    </row>
    <row r="958" spans="2:14" ht="15.75" customHeight="1">
      <c r="B958" s="66"/>
      <c r="J958" s="66"/>
      <c r="K958" s="134"/>
      <c r="L958" s="66"/>
      <c r="M958" s="66"/>
      <c r="N958" s="66"/>
    </row>
    <row r="959" spans="2:14" ht="15.75" customHeight="1">
      <c r="B959" s="66"/>
      <c r="J959" s="66"/>
      <c r="K959" s="134"/>
      <c r="L959" s="66"/>
      <c r="M959" s="66"/>
      <c r="N959" s="66"/>
    </row>
    <row r="960" spans="2:14" ht="15.75" customHeight="1">
      <c r="B960" s="66"/>
      <c r="J960" s="66"/>
      <c r="K960" s="134"/>
      <c r="L960" s="66"/>
      <c r="M960" s="66"/>
      <c r="N960" s="66"/>
    </row>
    <row r="961" spans="2:14" ht="15.75" customHeight="1">
      <c r="B961" s="66"/>
      <c r="J961" s="66"/>
      <c r="K961" s="134"/>
      <c r="L961" s="66"/>
      <c r="M961" s="66"/>
      <c r="N961" s="66"/>
    </row>
    <row r="962" spans="2:14" ht="15.75" customHeight="1">
      <c r="B962" s="66"/>
      <c r="J962" s="66"/>
      <c r="K962" s="134"/>
      <c r="L962" s="66"/>
      <c r="M962" s="66"/>
      <c r="N962" s="66"/>
    </row>
    <row r="963" spans="2:14" ht="15.75" customHeight="1">
      <c r="B963" s="66"/>
      <c r="J963" s="66"/>
      <c r="K963" s="134"/>
      <c r="L963" s="66"/>
      <c r="M963" s="66"/>
      <c r="N963" s="66"/>
    </row>
    <row r="964" spans="2:14" ht="15.75" customHeight="1">
      <c r="B964" s="66"/>
      <c r="J964" s="66"/>
      <c r="K964" s="134"/>
      <c r="L964" s="66"/>
      <c r="M964" s="66"/>
      <c r="N964" s="66"/>
    </row>
    <row r="965" spans="2:14" ht="15.75" customHeight="1">
      <c r="B965" s="66"/>
      <c r="J965" s="66"/>
      <c r="K965" s="134"/>
      <c r="L965" s="66"/>
      <c r="M965" s="66"/>
      <c r="N965" s="66"/>
    </row>
    <row r="966" spans="2:14" ht="15.75" customHeight="1">
      <c r="B966" s="66"/>
      <c r="J966" s="66"/>
      <c r="K966" s="134"/>
      <c r="L966" s="66"/>
      <c r="M966" s="66"/>
      <c r="N966" s="66"/>
    </row>
    <row r="967" spans="2:14" ht="15.75" customHeight="1">
      <c r="B967" s="66"/>
      <c r="J967" s="66"/>
      <c r="K967" s="134"/>
      <c r="L967" s="66"/>
      <c r="M967" s="66"/>
      <c r="N967" s="66"/>
    </row>
    <row r="968" spans="2:14" ht="15.75" customHeight="1">
      <c r="B968" s="66"/>
      <c r="J968" s="66"/>
      <c r="K968" s="134"/>
      <c r="L968" s="66"/>
      <c r="M968" s="66"/>
      <c r="N968" s="66"/>
    </row>
    <row r="969" spans="2:14" ht="15.75" customHeight="1">
      <c r="B969" s="66"/>
      <c r="J969" s="66"/>
      <c r="K969" s="134"/>
      <c r="L969" s="66"/>
      <c r="M969" s="66"/>
      <c r="N969" s="66"/>
    </row>
    <row r="970" spans="2:14" ht="15.75" customHeight="1">
      <c r="B970" s="66"/>
      <c r="J970" s="66"/>
      <c r="K970" s="134"/>
      <c r="L970" s="66"/>
      <c r="M970" s="66"/>
      <c r="N970" s="66"/>
    </row>
    <row r="971" spans="2:14" ht="15.75" customHeight="1">
      <c r="B971" s="66"/>
      <c r="J971" s="66"/>
      <c r="K971" s="134"/>
      <c r="L971" s="66"/>
      <c r="M971" s="66"/>
      <c r="N971" s="66"/>
    </row>
    <row r="972" spans="2:14" ht="15.75" customHeight="1">
      <c r="B972" s="66"/>
      <c r="J972" s="66"/>
      <c r="K972" s="134"/>
      <c r="L972" s="66"/>
      <c r="M972" s="66"/>
      <c r="N972" s="66"/>
    </row>
    <row r="973" spans="2:14" ht="15.75" customHeight="1">
      <c r="B973" s="66"/>
      <c r="J973" s="66"/>
      <c r="K973" s="134"/>
      <c r="L973" s="66"/>
      <c r="M973" s="66"/>
      <c r="N973" s="66"/>
    </row>
    <row r="974" spans="2:14" ht="15.75" customHeight="1">
      <c r="B974" s="66"/>
      <c r="J974" s="66"/>
      <c r="K974" s="134"/>
      <c r="L974" s="66"/>
      <c r="M974" s="66"/>
      <c r="N974" s="66"/>
    </row>
    <row r="975" spans="2:14" ht="15.75" customHeight="1">
      <c r="B975" s="66"/>
      <c r="J975" s="66"/>
      <c r="K975" s="134"/>
      <c r="L975" s="66"/>
      <c r="M975" s="66"/>
      <c r="N975" s="66"/>
    </row>
    <row r="976" spans="2:14" ht="15.75" customHeight="1">
      <c r="B976" s="66"/>
      <c r="J976" s="66"/>
      <c r="K976" s="134"/>
      <c r="L976" s="66"/>
      <c r="M976" s="66"/>
      <c r="N976" s="66"/>
    </row>
    <row r="977" spans="2:14" ht="15.75" customHeight="1">
      <c r="B977" s="66"/>
      <c r="J977" s="66"/>
      <c r="K977" s="134"/>
      <c r="L977" s="66"/>
      <c r="M977" s="66"/>
      <c r="N977" s="66"/>
    </row>
    <row r="978" spans="2:14" ht="15.75" customHeight="1">
      <c r="B978" s="66"/>
      <c r="J978" s="66"/>
      <c r="K978" s="134"/>
      <c r="L978" s="66"/>
      <c r="M978" s="66"/>
      <c r="N978" s="66"/>
    </row>
    <row r="979" spans="2:14" ht="15.75" customHeight="1">
      <c r="B979" s="66"/>
      <c r="J979" s="66"/>
      <c r="K979" s="134"/>
      <c r="L979" s="66"/>
      <c r="M979" s="66"/>
      <c r="N979" s="66"/>
    </row>
    <row r="980" spans="2:14" ht="15.75" customHeight="1">
      <c r="B980" s="66"/>
      <c r="J980" s="66"/>
      <c r="K980" s="134"/>
      <c r="L980" s="66"/>
      <c r="M980" s="66"/>
      <c r="N980" s="66"/>
    </row>
    <row r="981" spans="2:14" ht="15.75" customHeight="1">
      <c r="B981" s="66"/>
      <c r="J981" s="66"/>
      <c r="K981" s="134"/>
      <c r="L981" s="66"/>
      <c r="M981" s="66"/>
      <c r="N981" s="66"/>
    </row>
    <row r="982" spans="2:14" ht="15.75" customHeight="1">
      <c r="B982" s="66"/>
      <c r="J982" s="66"/>
      <c r="K982" s="134"/>
      <c r="L982" s="66"/>
      <c r="M982" s="66"/>
      <c r="N982" s="66"/>
    </row>
    <row r="983" spans="2:14" ht="15.75" customHeight="1">
      <c r="B983" s="66"/>
      <c r="J983" s="66"/>
      <c r="K983" s="134"/>
      <c r="L983" s="66"/>
      <c r="M983" s="66"/>
      <c r="N983" s="66"/>
    </row>
    <row r="984" spans="2:14" ht="15.75" customHeight="1">
      <c r="B984" s="66"/>
      <c r="J984" s="66"/>
      <c r="K984" s="134"/>
      <c r="L984" s="66"/>
      <c r="M984" s="66"/>
      <c r="N984" s="66"/>
    </row>
    <row r="985" spans="2:14" ht="15.75" customHeight="1">
      <c r="B985" s="66"/>
      <c r="J985" s="66"/>
      <c r="K985" s="134"/>
      <c r="L985" s="66"/>
      <c r="M985" s="66"/>
      <c r="N985" s="66"/>
    </row>
    <row r="986" spans="2:14" ht="15.75" customHeight="1">
      <c r="B986" s="66"/>
      <c r="J986" s="66"/>
      <c r="K986" s="134"/>
      <c r="L986" s="66"/>
      <c r="M986" s="66"/>
      <c r="N986" s="66"/>
    </row>
    <row r="987" spans="2:14" ht="15.75" customHeight="1">
      <c r="B987" s="66"/>
      <c r="J987" s="66"/>
      <c r="K987" s="134"/>
      <c r="L987" s="66"/>
      <c r="M987" s="66"/>
      <c r="N987" s="66"/>
    </row>
    <row r="988" spans="2:14" ht="15.75" customHeight="1">
      <c r="B988" s="66"/>
      <c r="J988" s="66"/>
      <c r="K988" s="134"/>
      <c r="L988" s="66"/>
      <c r="M988" s="66"/>
      <c r="N988" s="66"/>
    </row>
    <row r="989" spans="2:14" ht="15.75" customHeight="1">
      <c r="B989" s="66"/>
      <c r="J989" s="66"/>
      <c r="K989" s="134"/>
      <c r="L989" s="66"/>
      <c r="M989" s="66"/>
      <c r="N989" s="66"/>
    </row>
    <row r="990" spans="2:14" ht="15.75" customHeight="1">
      <c r="B990" s="66"/>
      <c r="J990" s="66"/>
      <c r="K990" s="134"/>
      <c r="L990" s="66"/>
      <c r="M990" s="66"/>
      <c r="N990" s="66"/>
    </row>
    <row r="991" spans="2:14" ht="15.75" customHeight="1">
      <c r="B991" s="66"/>
      <c r="J991" s="66"/>
      <c r="K991" s="134"/>
      <c r="L991" s="66"/>
      <c r="M991" s="66"/>
      <c r="N991" s="66"/>
    </row>
    <row r="992" spans="2:14" ht="15.75" customHeight="1">
      <c r="B992" s="66"/>
      <c r="J992" s="66"/>
      <c r="K992" s="134"/>
      <c r="L992" s="66"/>
      <c r="M992" s="66"/>
      <c r="N992" s="66"/>
    </row>
    <row r="993" spans="2:14" ht="15.75" customHeight="1">
      <c r="B993" s="66"/>
      <c r="J993" s="66"/>
      <c r="K993" s="134"/>
      <c r="L993" s="66"/>
      <c r="M993" s="66"/>
      <c r="N993" s="66"/>
    </row>
    <row r="994" spans="2:14" ht="15.75" customHeight="1">
      <c r="B994" s="66"/>
      <c r="J994" s="66"/>
      <c r="K994" s="134"/>
      <c r="L994" s="66"/>
      <c r="M994" s="66"/>
      <c r="N994" s="66"/>
    </row>
    <row r="995" spans="2:14" ht="15.75" customHeight="1">
      <c r="B995" s="66"/>
      <c r="J995" s="66"/>
      <c r="K995" s="134"/>
      <c r="L995" s="66"/>
      <c r="M995" s="66"/>
      <c r="N995" s="66"/>
    </row>
    <row r="996" spans="2:14" ht="15.75" customHeight="1">
      <c r="B996" s="66"/>
      <c r="J996" s="66"/>
      <c r="K996" s="134"/>
      <c r="L996" s="66"/>
      <c r="M996" s="66"/>
      <c r="N996" s="66"/>
    </row>
    <row r="997" spans="2:14" ht="15.75" customHeight="1">
      <c r="B997" s="66"/>
      <c r="J997" s="66"/>
      <c r="K997" s="134"/>
      <c r="L997" s="66"/>
      <c r="M997" s="66"/>
      <c r="N997" s="66"/>
    </row>
    <row r="998" spans="2:14" ht="15.75" customHeight="1">
      <c r="B998" s="66"/>
      <c r="J998" s="66"/>
      <c r="K998" s="134"/>
      <c r="L998" s="66"/>
      <c r="M998" s="66"/>
      <c r="N998" s="66"/>
    </row>
    <row r="999" spans="2:14" ht="15.75" customHeight="1">
      <c r="B999" s="66"/>
      <c r="J999" s="66"/>
      <c r="K999" s="134"/>
      <c r="L999" s="66"/>
      <c r="M999" s="66"/>
      <c r="N999" s="66"/>
    </row>
    <row r="1000" spans="2:14" ht="15.75" customHeight="1">
      <c r="B1000" s="66"/>
      <c r="J1000" s="66"/>
      <c r="K1000" s="134"/>
      <c r="L1000" s="66"/>
      <c r="M1000" s="66"/>
      <c r="N1000" s="66"/>
    </row>
    <row r="1001" spans="2:14" ht="15.75" customHeight="1">
      <c r="B1001" s="66"/>
      <c r="J1001" s="66"/>
      <c r="K1001" s="134"/>
      <c r="L1001" s="66"/>
      <c r="M1001" s="66"/>
      <c r="N1001" s="66"/>
    </row>
    <row r="1002" spans="2:14" ht="15.75" customHeight="1">
      <c r="B1002" s="66"/>
      <c r="J1002" s="66"/>
      <c r="K1002" s="134"/>
      <c r="L1002" s="66"/>
      <c r="M1002" s="66"/>
      <c r="N1002" s="66"/>
    </row>
    <row r="1003" spans="2:14" ht="15.75" customHeight="1">
      <c r="B1003" s="66"/>
      <c r="J1003" s="66"/>
      <c r="K1003" s="134"/>
      <c r="L1003" s="66"/>
      <c r="M1003" s="66"/>
      <c r="N1003" s="66"/>
    </row>
    <row r="1004" spans="2:14" ht="15.75" customHeight="1">
      <c r="B1004" s="66"/>
      <c r="J1004" s="66"/>
      <c r="K1004" s="134"/>
      <c r="L1004" s="66"/>
      <c r="M1004" s="66"/>
      <c r="N1004" s="66"/>
    </row>
    <row r="1005" spans="2:14" ht="15.75" customHeight="1">
      <c r="B1005" s="66"/>
      <c r="J1005" s="66"/>
      <c r="K1005" s="134"/>
      <c r="L1005" s="66"/>
      <c r="M1005" s="66"/>
      <c r="N1005" s="66"/>
    </row>
    <row r="1006" spans="2:14" ht="15.75" customHeight="1">
      <c r="B1006" s="66"/>
      <c r="J1006" s="66"/>
      <c r="K1006" s="134"/>
      <c r="L1006" s="66"/>
      <c r="M1006" s="66"/>
      <c r="N1006" s="66"/>
    </row>
    <row r="1007" spans="2:14" ht="15.75" customHeight="1">
      <c r="B1007" s="66"/>
      <c r="J1007" s="66"/>
      <c r="K1007" s="134"/>
      <c r="L1007" s="66"/>
      <c r="M1007" s="66"/>
      <c r="N1007" s="66"/>
    </row>
    <row r="1008" spans="2:14" ht="15.75" customHeight="1">
      <c r="B1008" s="66"/>
      <c r="J1008" s="66"/>
      <c r="K1008" s="134"/>
      <c r="L1008" s="66"/>
      <c r="M1008" s="66"/>
      <c r="N1008" s="66"/>
    </row>
    <row r="1009" spans="2:14" ht="15.75" customHeight="1">
      <c r="B1009" s="66"/>
      <c r="J1009" s="66"/>
      <c r="K1009" s="134"/>
      <c r="L1009" s="66"/>
      <c r="M1009" s="66"/>
      <c r="N1009" s="66"/>
    </row>
    <row r="1010" spans="2:14" ht="15.75" customHeight="1">
      <c r="B1010" s="66"/>
      <c r="J1010" s="66"/>
      <c r="K1010" s="134"/>
      <c r="L1010" s="66"/>
      <c r="M1010" s="66"/>
      <c r="N1010" s="66"/>
    </row>
    <row r="1011" spans="2:14" ht="15.75" customHeight="1">
      <c r="B1011" s="66"/>
      <c r="J1011" s="66"/>
      <c r="K1011" s="134"/>
      <c r="L1011" s="66"/>
      <c r="M1011" s="66"/>
      <c r="N1011" s="66"/>
    </row>
    <row r="1012" spans="2:14" ht="15.75" customHeight="1">
      <c r="B1012" s="66"/>
      <c r="J1012" s="66"/>
      <c r="K1012" s="134"/>
      <c r="L1012" s="66"/>
      <c r="M1012" s="66"/>
      <c r="N1012" s="66"/>
    </row>
    <row r="1013" spans="2:14" ht="15.75" customHeight="1">
      <c r="B1013" s="66"/>
      <c r="J1013" s="66"/>
      <c r="K1013" s="134"/>
      <c r="L1013" s="66"/>
      <c r="M1013" s="66"/>
      <c r="N1013" s="66"/>
    </row>
    <row r="1014" spans="2:14" ht="15.75" customHeight="1">
      <c r="B1014" s="66"/>
      <c r="J1014" s="66"/>
      <c r="K1014" s="134"/>
      <c r="L1014" s="66"/>
      <c r="M1014" s="66"/>
      <c r="N1014" s="66"/>
    </row>
    <row r="1015" spans="2:14" ht="15.75" customHeight="1">
      <c r="B1015" s="66"/>
      <c r="J1015" s="66"/>
      <c r="K1015" s="134"/>
      <c r="L1015" s="66"/>
      <c r="M1015" s="66"/>
      <c r="N1015" s="66"/>
    </row>
    <row r="1016" spans="2:14" ht="15.75" customHeight="1">
      <c r="B1016" s="66"/>
      <c r="J1016" s="66"/>
      <c r="K1016" s="134"/>
      <c r="L1016" s="66"/>
      <c r="M1016" s="66"/>
      <c r="N1016" s="66"/>
    </row>
    <row r="1017" spans="2:14" ht="15.75" customHeight="1">
      <c r="B1017" s="66"/>
      <c r="J1017" s="66"/>
      <c r="K1017" s="134"/>
      <c r="L1017" s="66"/>
      <c r="M1017" s="66"/>
      <c r="N1017" s="66"/>
    </row>
    <row r="1018" spans="2:14" ht="15.75" customHeight="1">
      <c r="B1018" s="66"/>
      <c r="J1018" s="66"/>
      <c r="K1018" s="134"/>
      <c r="L1018" s="66"/>
      <c r="M1018" s="66"/>
      <c r="N1018" s="66"/>
    </row>
    <row r="1019" spans="2:14" ht="15.75" customHeight="1">
      <c r="B1019" s="66"/>
      <c r="J1019" s="66"/>
      <c r="K1019" s="134"/>
      <c r="L1019" s="66"/>
      <c r="M1019" s="66"/>
      <c r="N1019" s="66"/>
    </row>
    <row r="1020" spans="2:14" ht="15.75" customHeight="1">
      <c r="B1020" s="66"/>
      <c r="J1020" s="66"/>
      <c r="K1020" s="134"/>
      <c r="L1020" s="66"/>
      <c r="M1020" s="66"/>
      <c r="N1020" s="66"/>
    </row>
    <row r="1021" spans="2:14" ht="15.75" customHeight="1">
      <c r="B1021" s="66"/>
      <c r="J1021" s="66"/>
      <c r="K1021" s="134"/>
      <c r="L1021" s="66"/>
      <c r="M1021" s="66"/>
      <c r="N1021" s="66"/>
    </row>
    <row r="1022" spans="2:14" ht="15.75" customHeight="1">
      <c r="B1022" s="66"/>
      <c r="J1022" s="66"/>
      <c r="K1022" s="134"/>
      <c r="L1022" s="66"/>
      <c r="M1022" s="66"/>
      <c r="N1022" s="66"/>
    </row>
    <row r="1023" spans="2:14" ht="15.75" customHeight="1">
      <c r="B1023" s="66"/>
      <c r="J1023" s="66"/>
      <c r="K1023" s="134"/>
      <c r="L1023" s="66"/>
      <c r="M1023" s="66"/>
      <c r="N1023" s="66"/>
    </row>
    <row r="1024" spans="2:14" ht="15.75" customHeight="1">
      <c r="B1024" s="66"/>
      <c r="J1024" s="66"/>
      <c r="K1024" s="134"/>
      <c r="L1024" s="66"/>
      <c r="M1024" s="66"/>
      <c r="N1024" s="66"/>
    </row>
    <row r="1025" spans="2:14" ht="15.75" customHeight="1">
      <c r="B1025" s="66"/>
      <c r="J1025" s="66"/>
      <c r="K1025" s="134"/>
      <c r="L1025" s="66"/>
      <c r="M1025" s="66"/>
      <c r="N1025" s="66"/>
    </row>
    <row r="1026" spans="2:14" ht="15.75" customHeight="1">
      <c r="B1026" s="66"/>
      <c r="J1026" s="66"/>
      <c r="K1026" s="134"/>
      <c r="L1026" s="66"/>
      <c r="M1026" s="66"/>
      <c r="N1026" s="66"/>
    </row>
    <row r="1027" spans="2:14" ht="15.75" customHeight="1">
      <c r="B1027" s="66"/>
      <c r="J1027" s="66"/>
      <c r="K1027" s="134"/>
      <c r="L1027" s="66"/>
      <c r="M1027" s="66"/>
      <c r="N1027" s="66"/>
    </row>
    <row r="1028" spans="2:14" ht="15.75" customHeight="1">
      <c r="B1028" s="66"/>
      <c r="J1028" s="66"/>
      <c r="K1028" s="134"/>
      <c r="L1028" s="66"/>
      <c r="M1028" s="66"/>
      <c r="N1028" s="66"/>
    </row>
    <row r="1029" spans="2:14" ht="15.75" customHeight="1">
      <c r="B1029" s="66"/>
      <c r="J1029" s="66"/>
      <c r="K1029" s="134"/>
      <c r="L1029" s="66"/>
      <c r="M1029" s="66"/>
      <c r="N1029" s="66"/>
    </row>
    <row r="1030" spans="2:14" ht="15.75" customHeight="1">
      <c r="B1030" s="66"/>
      <c r="J1030" s="66"/>
      <c r="K1030" s="134"/>
      <c r="L1030" s="66"/>
      <c r="M1030" s="66"/>
      <c r="N1030" s="66"/>
    </row>
    <row r="1031" spans="2:14" ht="15.75" customHeight="1">
      <c r="B1031" s="66"/>
      <c r="J1031" s="66"/>
      <c r="K1031" s="134"/>
      <c r="L1031" s="66"/>
      <c r="M1031" s="66"/>
      <c r="N1031" s="66"/>
    </row>
    <row r="1032" spans="2:14" ht="15.75" customHeight="1">
      <c r="B1032" s="66"/>
      <c r="J1032" s="66"/>
      <c r="K1032" s="134"/>
      <c r="L1032" s="66"/>
      <c r="M1032" s="66"/>
      <c r="N1032" s="66"/>
    </row>
    <row r="1033" spans="2:14" ht="15.75" customHeight="1">
      <c r="B1033" s="66"/>
      <c r="J1033" s="66"/>
      <c r="K1033" s="134"/>
      <c r="L1033" s="66"/>
      <c r="M1033" s="66"/>
      <c r="N1033" s="66"/>
    </row>
    <row r="1034" spans="2:14" ht="15.75" customHeight="1">
      <c r="B1034" s="66"/>
      <c r="J1034" s="66"/>
      <c r="K1034" s="134"/>
      <c r="L1034" s="66"/>
      <c r="M1034" s="66"/>
      <c r="N1034" s="66"/>
    </row>
    <row r="1035" spans="2:14" ht="15.75" customHeight="1">
      <c r="B1035" s="66"/>
      <c r="J1035" s="66"/>
      <c r="K1035" s="134"/>
      <c r="L1035" s="66"/>
      <c r="M1035" s="66"/>
      <c r="N1035" s="66"/>
    </row>
    <row r="1036" spans="2:14" ht="15.75" customHeight="1">
      <c r="B1036" s="66"/>
      <c r="J1036" s="66"/>
      <c r="K1036" s="134"/>
      <c r="L1036" s="66"/>
      <c r="M1036" s="66"/>
      <c r="N1036" s="66"/>
    </row>
    <row r="1037" spans="2:14" ht="15.75" customHeight="1">
      <c r="B1037" s="66"/>
      <c r="J1037" s="66"/>
      <c r="K1037" s="134"/>
      <c r="L1037" s="66"/>
      <c r="M1037" s="66"/>
      <c r="N1037" s="66"/>
    </row>
    <row r="1038" spans="2:14" ht="15.75" customHeight="1">
      <c r="B1038" s="66"/>
      <c r="J1038" s="66"/>
      <c r="K1038" s="134"/>
      <c r="L1038" s="66"/>
      <c r="M1038" s="66"/>
      <c r="N1038" s="66"/>
    </row>
    <row r="1039" spans="2:14" ht="15.75" customHeight="1">
      <c r="B1039" s="66"/>
      <c r="J1039" s="66"/>
      <c r="K1039" s="134"/>
      <c r="L1039" s="66"/>
      <c r="M1039" s="66"/>
      <c r="N1039" s="66"/>
    </row>
    <row r="1040" spans="2:14" ht="15.75" customHeight="1">
      <c r="B1040" s="66"/>
      <c r="J1040" s="66"/>
      <c r="K1040" s="134"/>
      <c r="L1040" s="66"/>
      <c r="M1040" s="66"/>
      <c r="N1040" s="66"/>
    </row>
    <row r="1041" spans="2:14" ht="15.75" customHeight="1">
      <c r="B1041" s="66"/>
      <c r="J1041" s="66"/>
      <c r="K1041" s="134"/>
      <c r="L1041" s="66"/>
      <c r="M1041" s="66"/>
      <c r="N1041" s="66"/>
    </row>
    <row r="1042" spans="2:14" ht="15.75" customHeight="1">
      <c r="B1042" s="66"/>
      <c r="J1042" s="66"/>
      <c r="K1042" s="134"/>
      <c r="L1042" s="66"/>
      <c r="M1042" s="66"/>
      <c r="N1042" s="66"/>
    </row>
    <row r="1043" spans="2:14" ht="15.75" customHeight="1">
      <c r="B1043" s="66"/>
      <c r="J1043" s="66"/>
      <c r="K1043" s="134"/>
      <c r="L1043" s="66"/>
      <c r="M1043" s="66"/>
      <c r="N1043" s="66"/>
    </row>
    <row r="1044" spans="2:14" ht="15.75" customHeight="1">
      <c r="B1044" s="66"/>
      <c r="J1044" s="66"/>
      <c r="K1044" s="134"/>
      <c r="L1044" s="66"/>
      <c r="M1044" s="66"/>
      <c r="N1044" s="66"/>
    </row>
    <row r="1045" spans="2:14" ht="15.75" customHeight="1">
      <c r="B1045" s="66"/>
      <c r="J1045" s="66"/>
      <c r="K1045" s="134"/>
      <c r="L1045" s="66"/>
      <c r="M1045" s="66"/>
      <c r="N1045" s="66"/>
    </row>
    <row r="1046" spans="2:14" ht="15.75" customHeight="1">
      <c r="B1046" s="66"/>
      <c r="J1046" s="66"/>
      <c r="K1046" s="134"/>
      <c r="L1046" s="66"/>
      <c r="M1046" s="66"/>
      <c r="N1046" s="66"/>
    </row>
    <row r="1047" spans="2:14" ht="15.75" customHeight="1">
      <c r="B1047" s="66"/>
      <c r="J1047" s="66"/>
      <c r="K1047" s="134"/>
      <c r="L1047" s="66"/>
      <c r="M1047" s="66"/>
      <c r="N1047" s="66"/>
    </row>
    <row r="1048" spans="2:14" ht="15.75" customHeight="1">
      <c r="B1048" s="66"/>
      <c r="J1048" s="66"/>
      <c r="K1048" s="134"/>
      <c r="L1048" s="66"/>
      <c r="M1048" s="66"/>
      <c r="N1048" s="66"/>
    </row>
    <row r="1049" spans="2:14" ht="15.75" customHeight="1">
      <c r="B1049" s="66"/>
      <c r="J1049" s="66"/>
      <c r="K1049" s="134"/>
      <c r="L1049" s="66"/>
      <c r="M1049" s="66"/>
      <c r="N1049" s="66"/>
    </row>
    <row r="1050" spans="2:14" ht="15.75" customHeight="1">
      <c r="B1050" s="66"/>
      <c r="J1050" s="66"/>
      <c r="K1050" s="134"/>
      <c r="L1050" s="66"/>
      <c r="M1050" s="66"/>
      <c r="N1050" s="66"/>
    </row>
    <row r="1051" spans="2:14" ht="15.75" customHeight="1">
      <c r="B1051" s="66"/>
      <c r="J1051" s="66"/>
      <c r="K1051" s="134"/>
      <c r="L1051" s="66"/>
      <c r="M1051" s="66"/>
      <c r="N1051" s="66"/>
    </row>
    <row r="1052" spans="2:14" ht="15.75" customHeight="1">
      <c r="B1052" s="66"/>
      <c r="J1052" s="66"/>
      <c r="K1052" s="134"/>
      <c r="L1052" s="66"/>
      <c r="M1052" s="66"/>
      <c r="N1052" s="66"/>
    </row>
    <row r="1053" spans="2:14" ht="15.75" customHeight="1">
      <c r="B1053" s="66"/>
      <c r="J1053" s="66"/>
      <c r="K1053" s="134"/>
      <c r="L1053" s="66"/>
      <c r="M1053" s="66"/>
      <c r="N1053" s="66"/>
    </row>
    <row r="1054" spans="2:14" ht="15.75" customHeight="1">
      <c r="B1054" s="66"/>
      <c r="J1054" s="66"/>
      <c r="K1054" s="134"/>
      <c r="L1054" s="66"/>
      <c r="M1054" s="66"/>
      <c r="N1054" s="66"/>
    </row>
    <row r="1055" spans="2:14" ht="15.75" customHeight="1">
      <c r="B1055" s="66"/>
      <c r="J1055" s="66"/>
      <c r="K1055" s="134"/>
      <c r="L1055" s="66"/>
      <c r="M1055" s="66"/>
      <c r="N1055" s="66"/>
    </row>
    <row r="1056" spans="2:14" ht="15.75" customHeight="1">
      <c r="B1056" s="66"/>
      <c r="J1056" s="66"/>
      <c r="K1056" s="134"/>
      <c r="L1056" s="66"/>
      <c r="M1056" s="66"/>
      <c r="N1056" s="66"/>
    </row>
    <row r="1057" spans="2:14" ht="15.75" customHeight="1">
      <c r="B1057" s="66"/>
      <c r="J1057" s="66"/>
      <c r="K1057" s="134"/>
      <c r="L1057" s="66"/>
      <c r="M1057" s="66"/>
      <c r="N1057" s="66"/>
    </row>
    <row r="1058" spans="2:14" ht="15.75" customHeight="1">
      <c r="B1058" s="66"/>
      <c r="J1058" s="66"/>
      <c r="K1058" s="134"/>
      <c r="L1058" s="66"/>
      <c r="M1058" s="66"/>
      <c r="N1058" s="66"/>
    </row>
    <row r="1059" spans="2:14" ht="15.75" customHeight="1">
      <c r="B1059" s="66"/>
      <c r="J1059" s="66"/>
      <c r="K1059" s="134"/>
      <c r="L1059" s="66"/>
      <c r="M1059" s="66"/>
      <c r="N1059" s="66"/>
    </row>
    <row r="1060" spans="2:14" ht="15.75" customHeight="1">
      <c r="B1060" s="66"/>
      <c r="J1060" s="66"/>
      <c r="K1060" s="134"/>
      <c r="L1060" s="66"/>
      <c r="M1060" s="66"/>
      <c r="N1060" s="66"/>
    </row>
    <row r="1061" spans="2:14" ht="15.75" customHeight="1">
      <c r="B1061" s="66"/>
      <c r="J1061" s="66"/>
      <c r="K1061" s="134"/>
      <c r="L1061" s="66"/>
      <c r="M1061" s="66"/>
      <c r="N1061" s="66"/>
    </row>
    <row r="1062" spans="2:14" ht="15.75" customHeight="1">
      <c r="B1062" s="66"/>
      <c r="J1062" s="66"/>
      <c r="K1062" s="134"/>
      <c r="L1062" s="66"/>
      <c r="M1062" s="66"/>
      <c r="N1062" s="66"/>
    </row>
    <row r="1063" spans="2:14" ht="15.75" customHeight="1">
      <c r="B1063" s="66"/>
      <c r="J1063" s="66"/>
      <c r="K1063" s="134"/>
      <c r="L1063" s="66"/>
      <c r="M1063" s="66"/>
      <c r="N1063" s="66"/>
    </row>
    <row r="1064" spans="2:14" ht="15.75" customHeight="1">
      <c r="B1064" s="66"/>
      <c r="J1064" s="66"/>
      <c r="K1064" s="134"/>
      <c r="L1064" s="66"/>
      <c r="M1064" s="66"/>
      <c r="N1064" s="66"/>
    </row>
    <row r="1065" spans="2:14" ht="15.75" customHeight="1">
      <c r="B1065" s="66"/>
      <c r="J1065" s="66"/>
      <c r="K1065" s="134"/>
      <c r="L1065" s="66"/>
      <c r="M1065" s="66"/>
      <c r="N1065" s="66"/>
    </row>
    <row r="1066" spans="2:14" ht="15.75" customHeight="1">
      <c r="B1066" s="66"/>
      <c r="J1066" s="66"/>
      <c r="K1066" s="134"/>
      <c r="L1066" s="66"/>
      <c r="M1066" s="66"/>
      <c r="N1066" s="66"/>
    </row>
    <row r="1067" spans="2:14" ht="15.75" customHeight="1">
      <c r="B1067" s="66"/>
      <c r="J1067" s="66"/>
      <c r="K1067" s="134"/>
      <c r="L1067" s="66"/>
      <c r="M1067" s="66"/>
      <c r="N1067" s="66"/>
    </row>
    <row r="1068" spans="2:14" ht="15.75" customHeight="1">
      <c r="B1068" s="66"/>
      <c r="J1068" s="66"/>
      <c r="K1068" s="134"/>
      <c r="L1068" s="66"/>
      <c r="M1068" s="66"/>
      <c r="N1068" s="66"/>
    </row>
    <row r="1069" spans="2:14" ht="15.75" customHeight="1">
      <c r="B1069" s="66"/>
      <c r="J1069" s="66"/>
      <c r="K1069" s="134"/>
      <c r="L1069" s="66"/>
      <c r="M1069" s="66"/>
      <c r="N1069" s="66"/>
    </row>
    <row r="1070" spans="2:14" ht="15.75" customHeight="1">
      <c r="B1070" s="66"/>
      <c r="J1070" s="66"/>
      <c r="K1070" s="134"/>
      <c r="L1070" s="66"/>
      <c r="M1070" s="66"/>
      <c r="N1070" s="66"/>
    </row>
    <row r="1071" spans="2:14" ht="15.75" customHeight="1">
      <c r="B1071" s="66"/>
      <c r="J1071" s="66"/>
      <c r="K1071" s="134"/>
      <c r="L1071" s="66"/>
      <c r="M1071" s="66"/>
      <c r="N1071" s="66"/>
    </row>
    <row r="1072" spans="2:14" ht="15.75" customHeight="1">
      <c r="B1072" s="66"/>
      <c r="J1072" s="66"/>
      <c r="K1072" s="134"/>
      <c r="L1072" s="66"/>
      <c r="M1072" s="66"/>
      <c r="N1072" s="66"/>
    </row>
    <row r="1073" spans="2:14" ht="15.75" customHeight="1">
      <c r="B1073" s="66"/>
      <c r="J1073" s="66"/>
      <c r="K1073" s="134"/>
      <c r="L1073" s="66"/>
      <c r="M1073" s="66"/>
      <c r="N1073" s="66"/>
    </row>
    <row r="1074" spans="2:14" ht="15.75" customHeight="1">
      <c r="B1074" s="66"/>
      <c r="J1074" s="66"/>
      <c r="K1074" s="134"/>
      <c r="L1074" s="66"/>
      <c r="M1074" s="66"/>
      <c r="N1074" s="66"/>
    </row>
    <row r="1075" spans="2:14" ht="15.75" customHeight="1">
      <c r="B1075" s="66"/>
      <c r="J1075" s="66"/>
      <c r="K1075" s="134"/>
      <c r="L1075" s="66"/>
      <c r="M1075" s="66"/>
      <c r="N1075" s="66"/>
    </row>
    <row r="1076" spans="2:14" ht="15.75" customHeight="1">
      <c r="B1076" s="66"/>
      <c r="J1076" s="66"/>
      <c r="K1076" s="134"/>
      <c r="L1076" s="66"/>
      <c r="M1076" s="66"/>
      <c r="N1076" s="66"/>
    </row>
    <row r="1077" spans="2:14" ht="15.75" customHeight="1">
      <c r="B1077" s="66"/>
      <c r="J1077" s="66"/>
      <c r="K1077" s="134"/>
      <c r="L1077" s="66"/>
      <c r="M1077" s="66"/>
      <c r="N1077" s="66"/>
    </row>
    <row r="1078" spans="2:14" ht="15.75" customHeight="1">
      <c r="B1078" s="66"/>
      <c r="J1078" s="66"/>
      <c r="K1078" s="134"/>
      <c r="L1078" s="66"/>
      <c r="M1078" s="66"/>
      <c r="N1078" s="66"/>
    </row>
    <row r="1079" spans="2:14" ht="15.75" customHeight="1">
      <c r="B1079" s="66"/>
      <c r="J1079" s="66"/>
      <c r="K1079" s="134"/>
      <c r="L1079" s="66"/>
      <c r="M1079" s="66"/>
      <c r="N1079" s="66"/>
    </row>
    <row r="1080" spans="2:14" ht="15.75" customHeight="1">
      <c r="B1080" s="66"/>
      <c r="J1080" s="66"/>
      <c r="K1080" s="134"/>
      <c r="L1080" s="66"/>
      <c r="M1080" s="66"/>
      <c r="N1080" s="66"/>
    </row>
    <row r="1081" spans="2:14" ht="15.75" customHeight="1">
      <c r="B1081" s="66"/>
      <c r="J1081" s="66"/>
      <c r="K1081" s="134"/>
      <c r="L1081" s="66"/>
      <c r="M1081" s="66"/>
      <c r="N1081" s="66"/>
    </row>
    <row r="1082" spans="2:14" ht="15.75" customHeight="1">
      <c r="B1082" s="66"/>
      <c r="J1082" s="66"/>
      <c r="K1082" s="134"/>
      <c r="L1082" s="66"/>
      <c r="M1082" s="66"/>
      <c r="N1082" s="66"/>
    </row>
    <row r="1083" spans="2:14" ht="15.75" customHeight="1">
      <c r="B1083" s="66"/>
      <c r="J1083" s="66"/>
      <c r="K1083" s="134"/>
      <c r="L1083" s="66"/>
      <c r="M1083" s="66"/>
      <c r="N1083" s="66"/>
    </row>
    <row r="1084" spans="2:14" ht="15.75" customHeight="1">
      <c r="B1084" s="66"/>
      <c r="J1084" s="66"/>
      <c r="K1084" s="134"/>
      <c r="L1084" s="66"/>
      <c r="M1084" s="66"/>
      <c r="N1084" s="66"/>
    </row>
    <row r="1085" spans="2:14" ht="15.75" customHeight="1">
      <c r="B1085" s="66"/>
      <c r="J1085" s="66"/>
      <c r="K1085" s="134"/>
      <c r="L1085" s="66"/>
      <c r="M1085" s="66"/>
      <c r="N1085" s="66"/>
    </row>
    <row r="1086" spans="2:14" ht="15.75" customHeight="1">
      <c r="B1086" s="66"/>
      <c r="J1086" s="66"/>
      <c r="K1086" s="134"/>
      <c r="L1086" s="66"/>
      <c r="M1086" s="66"/>
      <c r="N1086" s="66"/>
    </row>
    <row r="1087" spans="2:14" ht="15.75" customHeight="1">
      <c r="B1087" s="66"/>
      <c r="J1087" s="66"/>
      <c r="K1087" s="134"/>
      <c r="L1087" s="66"/>
      <c r="M1087" s="66"/>
      <c r="N1087" s="66"/>
    </row>
    <row r="1088" spans="2:14" ht="15.75" customHeight="1">
      <c r="B1088" s="66"/>
      <c r="J1088" s="66"/>
      <c r="K1088" s="134"/>
      <c r="L1088" s="66"/>
      <c r="M1088" s="66"/>
      <c r="N1088" s="66"/>
    </row>
    <row r="1089" spans="2:14" ht="15.75" customHeight="1">
      <c r="B1089" s="66"/>
      <c r="J1089" s="66"/>
      <c r="K1089" s="134"/>
      <c r="L1089" s="66"/>
      <c r="M1089" s="66"/>
      <c r="N1089" s="66"/>
    </row>
    <row r="1090" spans="2:14" ht="15.75" customHeight="1">
      <c r="B1090" s="66"/>
      <c r="J1090" s="66"/>
      <c r="K1090" s="134"/>
      <c r="L1090" s="66"/>
      <c r="M1090" s="66"/>
      <c r="N1090" s="66"/>
    </row>
    <row r="1091" spans="2:14" ht="15.75" customHeight="1">
      <c r="B1091" s="66"/>
      <c r="J1091" s="66"/>
      <c r="K1091" s="134"/>
      <c r="L1091" s="66"/>
      <c r="M1091" s="66"/>
      <c r="N1091" s="66"/>
    </row>
    <row r="1092" spans="2:14" ht="15.75" customHeight="1">
      <c r="B1092" s="66"/>
      <c r="J1092" s="66"/>
      <c r="K1092" s="134"/>
      <c r="L1092" s="66"/>
      <c r="M1092" s="66"/>
      <c r="N1092" s="66"/>
    </row>
    <row r="1093" spans="2:14" ht="15.75" customHeight="1">
      <c r="B1093" s="66"/>
      <c r="J1093" s="66"/>
      <c r="K1093" s="134"/>
      <c r="L1093" s="66"/>
      <c r="M1093" s="66"/>
      <c r="N1093" s="66"/>
    </row>
    <row r="1094" spans="2:14" ht="15.75" customHeight="1">
      <c r="B1094" s="66"/>
      <c r="J1094" s="66"/>
      <c r="K1094" s="134"/>
      <c r="L1094" s="66"/>
      <c r="M1094" s="66"/>
      <c r="N1094" s="66"/>
    </row>
    <row r="1095" spans="2:14" ht="15.75" customHeight="1">
      <c r="B1095" s="66"/>
      <c r="J1095" s="66"/>
      <c r="K1095" s="134"/>
      <c r="L1095" s="66"/>
      <c r="M1095" s="66"/>
      <c r="N1095" s="66"/>
    </row>
    <row r="1096" spans="2:14" ht="15.75" customHeight="1">
      <c r="B1096" s="66"/>
      <c r="J1096" s="66"/>
      <c r="K1096" s="134"/>
      <c r="L1096" s="66"/>
      <c r="M1096" s="66"/>
      <c r="N1096" s="66"/>
    </row>
    <row r="1097" spans="2:14" ht="15.75" customHeight="1">
      <c r="B1097" s="66"/>
      <c r="J1097" s="66"/>
      <c r="K1097" s="134"/>
      <c r="L1097" s="66"/>
      <c r="M1097" s="66"/>
      <c r="N1097" s="66"/>
    </row>
    <row r="1098" spans="2:14" ht="15.75" customHeight="1">
      <c r="B1098" s="66"/>
      <c r="J1098" s="66"/>
      <c r="K1098" s="134"/>
      <c r="L1098" s="66"/>
      <c r="M1098" s="66"/>
      <c r="N1098" s="66"/>
    </row>
    <row r="1099" spans="2:14" ht="15.75" customHeight="1">
      <c r="B1099" s="66"/>
      <c r="J1099" s="66"/>
      <c r="K1099" s="134"/>
      <c r="L1099" s="66"/>
      <c r="M1099" s="66"/>
      <c r="N1099" s="66"/>
    </row>
    <row r="1100" spans="2:14" ht="15.75" customHeight="1">
      <c r="B1100" s="66"/>
      <c r="J1100" s="66"/>
      <c r="K1100" s="134"/>
      <c r="L1100" s="66"/>
      <c r="M1100" s="66"/>
      <c r="N1100" s="66"/>
    </row>
    <row r="1101" spans="2:14" ht="15.75" customHeight="1">
      <c r="B1101" s="66"/>
      <c r="J1101" s="66"/>
      <c r="K1101" s="134"/>
      <c r="L1101" s="66"/>
      <c r="M1101" s="66"/>
      <c r="N1101" s="66"/>
    </row>
    <row r="1102" spans="2:14" ht="15.75" customHeight="1">
      <c r="B1102" s="66"/>
      <c r="J1102" s="66"/>
      <c r="K1102" s="134"/>
      <c r="L1102" s="66"/>
      <c r="M1102" s="66"/>
      <c r="N1102" s="66"/>
    </row>
    <row r="1103" spans="2:14" ht="15.75" customHeight="1">
      <c r="B1103" s="66"/>
      <c r="J1103" s="66"/>
      <c r="K1103" s="134"/>
      <c r="L1103" s="66"/>
      <c r="M1103" s="66"/>
      <c r="N1103" s="66"/>
    </row>
    <row r="1104" spans="2:14" ht="15.75" customHeight="1">
      <c r="B1104" s="66"/>
      <c r="J1104" s="66"/>
      <c r="K1104" s="134"/>
      <c r="L1104" s="66"/>
      <c r="M1104" s="66"/>
      <c r="N1104" s="66"/>
    </row>
    <row r="1105" spans="2:14" ht="15.75" customHeight="1">
      <c r="B1105" s="66"/>
      <c r="J1105" s="66"/>
      <c r="K1105" s="134"/>
      <c r="L1105" s="66"/>
      <c r="M1105" s="66"/>
      <c r="N1105" s="66"/>
    </row>
    <row r="1106" spans="2:14" ht="15.75" customHeight="1">
      <c r="B1106" s="66"/>
      <c r="J1106" s="66"/>
      <c r="K1106" s="134"/>
      <c r="L1106" s="66"/>
      <c r="M1106" s="66"/>
      <c r="N1106" s="66"/>
    </row>
    <row r="1107" spans="2:14" ht="15.75" customHeight="1">
      <c r="B1107" s="66"/>
      <c r="J1107" s="66"/>
      <c r="K1107" s="134"/>
      <c r="L1107" s="66"/>
      <c r="M1107" s="66"/>
      <c r="N1107" s="66"/>
    </row>
    <row r="1108" spans="2:14" ht="15.75" customHeight="1">
      <c r="B1108" s="66"/>
      <c r="J1108" s="66"/>
      <c r="K1108" s="134"/>
      <c r="L1108" s="66"/>
      <c r="M1108" s="66"/>
      <c r="N1108" s="66"/>
    </row>
    <row r="1109" spans="2:14" ht="15.75" customHeight="1">
      <c r="B1109" s="66"/>
      <c r="J1109" s="66"/>
      <c r="K1109" s="134"/>
      <c r="L1109" s="66"/>
      <c r="M1109" s="66"/>
      <c r="N1109" s="66"/>
    </row>
    <row r="1110" spans="2:14" ht="15.75" customHeight="1">
      <c r="B1110" s="66"/>
      <c r="J1110" s="66"/>
      <c r="K1110" s="134"/>
      <c r="L1110" s="66"/>
      <c r="M1110" s="66"/>
      <c r="N1110" s="66"/>
    </row>
    <row r="1111" spans="2:14" ht="15.75" customHeight="1">
      <c r="B1111" s="66"/>
      <c r="J1111" s="66"/>
      <c r="K1111" s="134"/>
      <c r="L1111" s="66"/>
      <c r="M1111" s="66"/>
      <c r="N1111" s="66"/>
    </row>
    <row r="1112" spans="2:14" ht="15.75" customHeight="1">
      <c r="B1112" s="66"/>
      <c r="J1112" s="66"/>
      <c r="K1112" s="134"/>
      <c r="L1112" s="66"/>
      <c r="M1112" s="66"/>
      <c r="N1112" s="66"/>
    </row>
    <row r="1113" spans="2:14" ht="15.75" customHeight="1">
      <c r="B1113" s="66"/>
      <c r="J1113" s="66"/>
      <c r="K1113" s="134"/>
      <c r="L1113" s="66"/>
      <c r="M1113" s="66"/>
      <c r="N1113" s="66"/>
    </row>
    <row r="1114" spans="2:14" ht="15.75" customHeight="1">
      <c r="B1114" s="66"/>
      <c r="J1114" s="66"/>
      <c r="K1114" s="134"/>
      <c r="L1114" s="66"/>
      <c r="M1114" s="66"/>
      <c r="N1114" s="66"/>
    </row>
    <row r="1115" spans="2:14" ht="15.75" customHeight="1">
      <c r="B1115" s="66"/>
      <c r="J1115" s="66"/>
      <c r="K1115" s="134"/>
      <c r="L1115" s="66"/>
      <c r="M1115" s="66"/>
      <c r="N1115" s="66"/>
    </row>
    <row r="1116" spans="2:14" ht="15.75" customHeight="1">
      <c r="B1116" s="66"/>
      <c r="J1116" s="66"/>
      <c r="K1116" s="134"/>
      <c r="L1116" s="66"/>
      <c r="M1116" s="66"/>
      <c r="N1116" s="66"/>
    </row>
    <row r="1117" spans="2:14" ht="15.75" customHeight="1">
      <c r="B1117" s="66"/>
      <c r="J1117" s="66"/>
      <c r="K1117" s="134"/>
      <c r="L1117" s="66"/>
      <c r="M1117" s="66"/>
      <c r="N1117" s="66"/>
    </row>
    <row r="1118" spans="2:14" ht="15.75" customHeight="1">
      <c r="B1118" s="66"/>
      <c r="J1118" s="66"/>
      <c r="K1118" s="134"/>
      <c r="L1118" s="66"/>
      <c r="M1118" s="66"/>
      <c r="N1118" s="66"/>
    </row>
    <row r="1119" spans="2:14" ht="15.75" customHeight="1">
      <c r="B1119" s="66"/>
      <c r="J1119" s="66"/>
      <c r="K1119" s="134"/>
      <c r="L1119" s="66"/>
      <c r="M1119" s="66"/>
      <c r="N1119" s="66"/>
    </row>
    <row r="1120" spans="2:14" ht="15.75" customHeight="1">
      <c r="B1120" s="66"/>
      <c r="J1120" s="66"/>
      <c r="K1120" s="134"/>
      <c r="L1120" s="66"/>
      <c r="M1120" s="66"/>
      <c r="N1120" s="66"/>
    </row>
    <row r="1121" spans="2:14" ht="15.75" customHeight="1">
      <c r="B1121" s="66"/>
      <c r="J1121" s="66"/>
      <c r="K1121" s="134"/>
      <c r="L1121" s="66"/>
      <c r="M1121" s="66"/>
      <c r="N1121" s="66"/>
    </row>
    <row r="1122" spans="2:14" ht="15.75" customHeight="1">
      <c r="B1122" s="66"/>
      <c r="J1122" s="66"/>
      <c r="K1122" s="134"/>
      <c r="L1122" s="66"/>
      <c r="M1122" s="66"/>
      <c r="N1122" s="66"/>
    </row>
    <row r="1123" spans="2:14" ht="15.75" customHeight="1">
      <c r="B1123" s="66"/>
      <c r="J1123" s="66"/>
      <c r="K1123" s="134"/>
      <c r="L1123" s="66"/>
      <c r="M1123" s="66"/>
      <c r="N1123" s="66"/>
    </row>
    <row r="1124" spans="2:14" ht="15.75" customHeight="1">
      <c r="B1124" s="66"/>
      <c r="J1124" s="66"/>
      <c r="K1124" s="134"/>
      <c r="L1124" s="66"/>
      <c r="M1124" s="66"/>
      <c r="N1124" s="66"/>
    </row>
    <row r="1125" spans="2:14" ht="15.75" customHeight="1">
      <c r="B1125" s="66"/>
      <c r="J1125" s="66"/>
      <c r="K1125" s="134"/>
      <c r="L1125" s="66"/>
      <c r="M1125" s="66"/>
      <c r="N1125" s="66"/>
    </row>
    <row r="1126" spans="2:14" ht="15.75" customHeight="1">
      <c r="B1126" s="66"/>
      <c r="J1126" s="66"/>
      <c r="K1126" s="134"/>
      <c r="L1126" s="66"/>
      <c r="M1126" s="66"/>
      <c r="N1126" s="66"/>
    </row>
    <row r="1127" spans="2:14" ht="15.75" customHeight="1">
      <c r="B1127" s="66"/>
      <c r="J1127" s="66"/>
      <c r="K1127" s="134"/>
      <c r="L1127" s="66"/>
      <c r="M1127" s="66"/>
      <c r="N1127" s="66"/>
    </row>
    <row r="1128" spans="2:14" ht="15.75" customHeight="1">
      <c r="B1128" s="66"/>
      <c r="J1128" s="66"/>
      <c r="K1128" s="134"/>
      <c r="L1128" s="66"/>
      <c r="M1128" s="66"/>
      <c r="N1128" s="66"/>
    </row>
    <row r="1129" spans="2:14" ht="15.75" customHeight="1">
      <c r="B1129" s="66"/>
      <c r="J1129" s="66"/>
      <c r="K1129" s="134"/>
      <c r="L1129" s="66"/>
      <c r="M1129" s="66"/>
      <c r="N1129" s="66"/>
    </row>
    <row r="1130" spans="2:14" ht="15.75" customHeight="1">
      <c r="B1130" s="66"/>
      <c r="J1130" s="66"/>
      <c r="K1130" s="134"/>
      <c r="L1130" s="66"/>
      <c r="M1130" s="66"/>
      <c r="N1130" s="66"/>
    </row>
    <row r="1131" spans="2:14" ht="15.75" customHeight="1">
      <c r="B1131" s="66"/>
      <c r="J1131" s="66"/>
      <c r="K1131" s="134"/>
      <c r="L1131" s="66"/>
      <c r="M1131" s="66"/>
      <c r="N1131" s="66"/>
    </row>
    <row r="1132" spans="2:14" ht="15.75" customHeight="1">
      <c r="B1132" s="66"/>
      <c r="J1132" s="66"/>
      <c r="K1132" s="134"/>
      <c r="L1132" s="66"/>
      <c r="M1132" s="66"/>
      <c r="N1132" s="66"/>
    </row>
    <row r="1133" spans="2:14" ht="15.75" customHeight="1">
      <c r="B1133" s="66"/>
      <c r="J1133" s="66"/>
      <c r="K1133" s="134"/>
      <c r="L1133" s="66"/>
      <c r="M1133" s="66"/>
      <c r="N1133" s="66"/>
    </row>
    <row r="1134" spans="2:14" ht="15.75" customHeight="1">
      <c r="B1134" s="66"/>
      <c r="J1134" s="66"/>
      <c r="K1134" s="134"/>
      <c r="L1134" s="66"/>
      <c r="M1134" s="66"/>
      <c r="N1134" s="66"/>
    </row>
    <row r="1135" spans="2:14" ht="15.75" customHeight="1">
      <c r="B1135" s="66"/>
      <c r="J1135" s="66"/>
      <c r="K1135" s="134"/>
      <c r="L1135" s="66"/>
      <c r="M1135" s="66"/>
      <c r="N1135" s="66"/>
    </row>
    <row r="1136" spans="2:14" ht="15.75" customHeight="1">
      <c r="B1136" s="66"/>
      <c r="J1136" s="66"/>
      <c r="K1136" s="134"/>
      <c r="L1136" s="66"/>
      <c r="M1136" s="66"/>
      <c r="N1136" s="66"/>
    </row>
    <row r="1137" spans="2:14" ht="15.75" customHeight="1">
      <c r="B1137" s="66"/>
      <c r="J1137" s="66"/>
      <c r="K1137" s="134"/>
      <c r="L1137" s="66"/>
      <c r="M1137" s="66"/>
      <c r="N1137" s="66"/>
    </row>
    <row r="1138" spans="2:14" ht="15.75" customHeight="1">
      <c r="B1138" s="66"/>
      <c r="J1138" s="66"/>
      <c r="K1138" s="134"/>
      <c r="L1138" s="66"/>
      <c r="M1138" s="66"/>
      <c r="N1138" s="66"/>
    </row>
    <row r="1139" spans="2:14" ht="15.75" customHeight="1">
      <c r="B1139" s="66"/>
      <c r="J1139" s="66"/>
      <c r="K1139" s="134"/>
      <c r="L1139" s="66"/>
      <c r="M1139" s="66"/>
      <c r="N1139" s="66"/>
    </row>
    <row r="1140" spans="2:14" ht="15.75" customHeight="1">
      <c r="B1140" s="66"/>
      <c r="J1140" s="66"/>
      <c r="K1140" s="134"/>
      <c r="L1140" s="66"/>
      <c r="M1140" s="66"/>
      <c r="N1140" s="66"/>
    </row>
    <row r="1141" spans="2:14" ht="15.75" customHeight="1">
      <c r="B1141" s="66"/>
      <c r="J1141" s="66"/>
      <c r="K1141" s="134"/>
      <c r="L1141" s="66"/>
      <c r="M1141" s="66"/>
      <c r="N1141" s="66"/>
    </row>
    <row r="1142" spans="2:14" ht="15.75" customHeight="1">
      <c r="B1142" s="66"/>
      <c r="J1142" s="66"/>
      <c r="K1142" s="134"/>
      <c r="L1142" s="66"/>
      <c r="M1142" s="66"/>
      <c r="N1142" s="66"/>
    </row>
    <row r="1143" spans="2:14" ht="15.75" customHeight="1">
      <c r="B1143" s="66"/>
      <c r="J1143" s="66"/>
      <c r="K1143" s="134"/>
      <c r="L1143" s="66"/>
      <c r="M1143" s="66"/>
      <c r="N1143" s="66"/>
    </row>
    <row r="1144" spans="2:14" ht="15.75" customHeight="1">
      <c r="B1144" s="66"/>
      <c r="J1144" s="66"/>
      <c r="K1144" s="134"/>
      <c r="L1144" s="66"/>
      <c r="M1144" s="66"/>
      <c r="N1144" s="66"/>
    </row>
    <row r="1145" spans="2:14" ht="15.75" customHeight="1">
      <c r="B1145" s="66"/>
      <c r="J1145" s="66"/>
      <c r="K1145" s="134"/>
      <c r="L1145" s="66"/>
      <c r="M1145" s="66"/>
      <c r="N1145" s="66"/>
    </row>
    <row r="1146" spans="2:14" ht="15.75" customHeight="1">
      <c r="B1146" s="66"/>
      <c r="J1146" s="66"/>
      <c r="K1146" s="134"/>
      <c r="L1146" s="66"/>
      <c r="M1146" s="66"/>
      <c r="N1146" s="66"/>
    </row>
    <row r="1147" spans="2:14" ht="15.75" customHeight="1">
      <c r="B1147" s="66"/>
      <c r="J1147" s="66"/>
      <c r="K1147" s="134"/>
      <c r="L1147" s="66"/>
      <c r="M1147" s="66"/>
      <c r="N1147" s="66"/>
    </row>
    <row r="1148" spans="2:14" ht="15.75" customHeight="1">
      <c r="B1148" s="66"/>
      <c r="J1148" s="66"/>
      <c r="K1148" s="134"/>
      <c r="L1148" s="66"/>
      <c r="M1148" s="66"/>
      <c r="N1148" s="66"/>
    </row>
    <row r="1149" spans="2:14" ht="15.75" customHeight="1">
      <c r="B1149" s="66"/>
      <c r="J1149" s="66"/>
      <c r="K1149" s="134"/>
      <c r="L1149" s="66"/>
      <c r="M1149" s="66"/>
      <c r="N1149" s="66"/>
    </row>
    <row r="1150" spans="2:14" ht="15.75" customHeight="1">
      <c r="B1150" s="66"/>
      <c r="J1150" s="66"/>
      <c r="K1150" s="134"/>
      <c r="L1150" s="66"/>
      <c r="M1150" s="66"/>
      <c r="N1150" s="66"/>
    </row>
    <row r="1151" spans="2:14" ht="15.75" customHeight="1">
      <c r="B1151" s="66"/>
      <c r="J1151" s="66"/>
      <c r="K1151" s="134"/>
      <c r="L1151" s="66"/>
      <c r="M1151" s="66"/>
      <c r="N1151" s="66"/>
    </row>
    <row r="1152" spans="2:14" ht="15.75" customHeight="1">
      <c r="B1152" s="66"/>
      <c r="J1152" s="66"/>
      <c r="K1152" s="134"/>
      <c r="L1152" s="66"/>
      <c r="M1152" s="66"/>
      <c r="N1152" s="66"/>
    </row>
    <row r="1153" spans="2:14" ht="15.75" customHeight="1">
      <c r="B1153" s="66"/>
      <c r="J1153" s="66"/>
      <c r="K1153" s="134"/>
      <c r="L1153" s="66"/>
      <c r="M1153" s="66"/>
      <c r="N1153" s="66"/>
    </row>
    <row r="1154" spans="2:14" ht="15.75" customHeight="1">
      <c r="B1154" s="66"/>
      <c r="J1154" s="66"/>
      <c r="K1154" s="134"/>
      <c r="L1154" s="66"/>
      <c r="M1154" s="66"/>
      <c r="N1154" s="66"/>
    </row>
    <row r="1155" spans="2:14" ht="15.75" customHeight="1">
      <c r="B1155" s="66"/>
      <c r="J1155" s="66"/>
      <c r="K1155" s="134"/>
      <c r="L1155" s="66"/>
      <c r="M1155" s="66"/>
      <c r="N1155" s="66"/>
    </row>
    <row r="1156" spans="2:14" ht="15.75" customHeight="1">
      <c r="B1156" s="66"/>
      <c r="J1156" s="66"/>
      <c r="K1156" s="134"/>
      <c r="L1156" s="66"/>
      <c r="M1156" s="66"/>
      <c r="N1156" s="66"/>
    </row>
    <row r="1157" spans="2:14" ht="15.75" customHeight="1">
      <c r="B1157" s="66"/>
      <c r="J1157" s="66"/>
      <c r="K1157" s="134"/>
      <c r="L1157" s="66"/>
      <c r="M1157" s="66"/>
      <c r="N1157" s="66"/>
    </row>
    <row r="1158" spans="2:14" ht="15.75" customHeight="1">
      <c r="B1158" s="66"/>
      <c r="J1158" s="66"/>
      <c r="K1158" s="134"/>
      <c r="L1158" s="66"/>
      <c r="M1158" s="66"/>
      <c r="N1158" s="66"/>
    </row>
    <row r="1159" spans="2:14" ht="15.75" customHeight="1">
      <c r="B1159" s="66"/>
      <c r="J1159" s="66"/>
      <c r="K1159" s="134"/>
      <c r="L1159" s="66"/>
      <c r="M1159" s="66"/>
      <c r="N1159" s="66"/>
    </row>
    <row r="1160" spans="2:14" ht="15.75" customHeight="1">
      <c r="B1160" s="66"/>
      <c r="J1160" s="66"/>
      <c r="K1160" s="134"/>
      <c r="L1160" s="66"/>
      <c r="M1160" s="66"/>
      <c r="N1160" s="66"/>
    </row>
    <row r="1161" spans="2:14" ht="15.75" customHeight="1">
      <c r="B1161" s="66"/>
      <c r="J1161" s="66"/>
      <c r="K1161" s="134"/>
      <c r="L1161" s="66"/>
      <c r="M1161" s="66"/>
      <c r="N1161" s="66"/>
    </row>
    <row r="1162" spans="2:14" ht="15.75" customHeight="1">
      <c r="B1162" s="66"/>
      <c r="J1162" s="66"/>
      <c r="K1162" s="134"/>
      <c r="L1162" s="66"/>
      <c r="M1162" s="66"/>
      <c r="N1162" s="66"/>
    </row>
    <row r="1163" spans="2:14" ht="15.75" customHeight="1">
      <c r="B1163" s="66"/>
      <c r="J1163" s="66"/>
      <c r="K1163" s="134"/>
      <c r="L1163" s="66"/>
      <c r="M1163" s="66"/>
      <c r="N1163" s="66"/>
    </row>
    <row r="1164" spans="2:14" ht="15.75" customHeight="1">
      <c r="B1164" s="66"/>
      <c r="J1164" s="66"/>
      <c r="K1164" s="134"/>
      <c r="L1164" s="66"/>
      <c r="M1164" s="66"/>
      <c r="N1164" s="66"/>
    </row>
    <row r="1165" spans="2:14" ht="15.75" customHeight="1">
      <c r="B1165" s="66"/>
      <c r="J1165" s="66"/>
      <c r="K1165" s="134"/>
      <c r="L1165" s="66"/>
      <c r="M1165" s="66"/>
      <c r="N1165" s="66"/>
    </row>
    <row r="1166" spans="2:14" ht="15.75" customHeight="1">
      <c r="B1166" s="66"/>
      <c r="J1166" s="66"/>
      <c r="K1166" s="134"/>
      <c r="L1166" s="66"/>
      <c r="M1166" s="66"/>
      <c r="N1166" s="66"/>
    </row>
    <row r="1167" spans="2:14" ht="15.75" customHeight="1">
      <c r="B1167" s="66"/>
      <c r="J1167" s="66"/>
      <c r="K1167" s="134"/>
      <c r="L1167" s="66"/>
      <c r="M1167" s="66"/>
      <c r="N1167" s="66"/>
    </row>
    <row r="1168" spans="2:14" ht="15.75" customHeight="1">
      <c r="B1168" s="66"/>
      <c r="J1168" s="66"/>
      <c r="K1168" s="134"/>
      <c r="L1168" s="66"/>
      <c r="M1168" s="66"/>
      <c r="N1168" s="66"/>
    </row>
    <row r="1169" spans="2:14" ht="15.75" customHeight="1">
      <c r="B1169" s="66"/>
      <c r="J1169" s="66"/>
      <c r="K1169" s="134"/>
      <c r="L1169" s="66"/>
      <c r="M1169" s="66"/>
      <c r="N1169" s="66"/>
    </row>
    <row r="1170" spans="2:14" ht="15.75" customHeight="1">
      <c r="B1170" s="66"/>
      <c r="J1170" s="66"/>
      <c r="K1170" s="134"/>
      <c r="L1170" s="66"/>
      <c r="M1170" s="66"/>
      <c r="N1170" s="66"/>
    </row>
    <row r="1171" spans="2:14" ht="15.75" customHeight="1">
      <c r="B1171" s="66"/>
      <c r="J1171" s="66"/>
      <c r="K1171" s="134"/>
      <c r="L1171" s="66"/>
      <c r="M1171" s="66"/>
      <c r="N1171" s="66"/>
    </row>
    <row r="1172" spans="2:14" ht="15.75" customHeight="1">
      <c r="B1172" s="66"/>
      <c r="J1172" s="66"/>
      <c r="K1172" s="134"/>
      <c r="L1172" s="66"/>
      <c r="M1172" s="66"/>
      <c r="N1172" s="66"/>
    </row>
    <row r="1173" spans="2:14" ht="15.75" customHeight="1">
      <c r="B1173" s="66"/>
      <c r="J1173" s="66"/>
      <c r="K1173" s="134"/>
      <c r="L1173" s="66"/>
      <c r="M1173" s="66"/>
      <c r="N1173" s="66"/>
    </row>
    <row r="1174" spans="2:14" ht="15.75" customHeight="1">
      <c r="B1174" s="66"/>
      <c r="J1174" s="66"/>
      <c r="K1174" s="134"/>
      <c r="L1174" s="66"/>
      <c r="M1174" s="66"/>
      <c r="N1174" s="66"/>
    </row>
    <row r="1175" spans="2:14" ht="15.75" customHeight="1">
      <c r="B1175" s="66"/>
      <c r="J1175" s="66"/>
      <c r="K1175" s="134"/>
      <c r="L1175" s="66"/>
      <c r="M1175" s="66"/>
      <c r="N1175" s="66"/>
    </row>
    <row r="1176" spans="2:14" ht="15.75" customHeight="1">
      <c r="B1176" s="66"/>
      <c r="J1176" s="66"/>
      <c r="K1176" s="134"/>
      <c r="L1176" s="66"/>
      <c r="M1176" s="66"/>
      <c r="N1176" s="66"/>
    </row>
    <row r="1177" spans="2:14" ht="15.75" customHeight="1">
      <c r="B1177" s="66"/>
      <c r="J1177" s="66"/>
      <c r="K1177" s="134"/>
      <c r="L1177" s="66"/>
      <c r="M1177" s="66"/>
      <c r="N1177" s="66"/>
    </row>
    <row r="1178" spans="2:14" ht="15.75" customHeight="1">
      <c r="B1178" s="66"/>
      <c r="J1178" s="66"/>
      <c r="K1178" s="134"/>
      <c r="L1178" s="66"/>
      <c r="M1178" s="66"/>
      <c r="N1178" s="66"/>
    </row>
    <row r="1179" spans="2:14" ht="15.75" customHeight="1">
      <c r="B1179" s="66"/>
      <c r="J1179" s="66"/>
      <c r="K1179" s="134"/>
      <c r="L1179" s="66"/>
      <c r="M1179" s="66"/>
      <c r="N1179" s="66"/>
    </row>
    <row r="1180" spans="2:14" ht="15.75" customHeight="1">
      <c r="B1180" s="66"/>
      <c r="J1180" s="66"/>
      <c r="K1180" s="134"/>
      <c r="L1180" s="66"/>
      <c r="M1180" s="66"/>
      <c r="N1180" s="66"/>
    </row>
    <row r="1181" spans="2:14" ht="15.75" customHeight="1">
      <c r="B1181" s="66"/>
      <c r="J1181" s="66"/>
      <c r="K1181" s="134"/>
      <c r="L1181" s="66"/>
      <c r="M1181" s="66"/>
      <c r="N1181" s="66"/>
    </row>
    <row r="1182" spans="2:14" ht="15.75" customHeight="1">
      <c r="B1182" s="66"/>
      <c r="J1182" s="66"/>
      <c r="K1182" s="134"/>
      <c r="L1182" s="66"/>
      <c r="M1182" s="66"/>
      <c r="N1182" s="66"/>
    </row>
    <row r="1183" spans="2:14" ht="15.75" customHeight="1">
      <c r="B1183" s="66"/>
      <c r="J1183" s="66"/>
      <c r="K1183" s="134"/>
      <c r="L1183" s="66"/>
      <c r="M1183" s="66"/>
      <c r="N1183" s="66"/>
    </row>
    <row r="1184" spans="2:14" ht="15.75" customHeight="1">
      <c r="B1184" s="66"/>
      <c r="J1184" s="66"/>
      <c r="K1184" s="134"/>
      <c r="L1184" s="66"/>
      <c r="M1184" s="66"/>
      <c r="N1184" s="66"/>
    </row>
    <row r="1185" spans="2:14" ht="15.75" customHeight="1">
      <c r="B1185" s="66"/>
      <c r="J1185" s="66"/>
      <c r="K1185" s="134"/>
      <c r="L1185" s="66"/>
      <c r="M1185" s="66"/>
      <c r="N1185" s="66"/>
    </row>
    <row r="1186" spans="2:14" ht="15.75" customHeight="1">
      <c r="B1186" s="66"/>
      <c r="J1186" s="66"/>
      <c r="K1186" s="134"/>
      <c r="L1186" s="66"/>
      <c r="M1186" s="66"/>
      <c r="N1186" s="66"/>
    </row>
    <row r="1187" spans="2:14" ht="15.75" customHeight="1">
      <c r="B1187" s="66"/>
      <c r="J1187" s="66"/>
      <c r="K1187" s="134"/>
      <c r="L1187" s="66"/>
      <c r="M1187" s="66"/>
      <c r="N1187" s="66"/>
    </row>
    <row r="1188" spans="2:14" ht="15.75" customHeight="1">
      <c r="B1188" s="66"/>
      <c r="J1188" s="66"/>
      <c r="K1188" s="134"/>
      <c r="L1188" s="66"/>
      <c r="M1188" s="66"/>
      <c r="N1188" s="66"/>
    </row>
    <row r="1189" spans="2:14" ht="15.75" customHeight="1">
      <c r="B1189" s="66"/>
      <c r="J1189" s="66"/>
      <c r="K1189" s="134"/>
      <c r="L1189" s="66"/>
      <c r="M1189" s="66"/>
      <c r="N1189" s="66"/>
    </row>
    <row r="1190" spans="2:14" ht="15.75" customHeight="1">
      <c r="B1190" s="66"/>
      <c r="J1190" s="66"/>
      <c r="K1190" s="134"/>
      <c r="L1190" s="66"/>
      <c r="M1190" s="66"/>
      <c r="N1190" s="66"/>
    </row>
    <row r="1191" spans="2:14" ht="15.75" customHeight="1">
      <c r="B1191" s="66"/>
      <c r="J1191" s="66"/>
      <c r="K1191" s="134"/>
      <c r="L1191" s="66"/>
      <c r="M1191" s="66"/>
      <c r="N1191" s="66"/>
    </row>
    <row r="1192" spans="2:14" ht="15.75" customHeight="1">
      <c r="B1192" s="66"/>
      <c r="J1192" s="66"/>
      <c r="K1192" s="134"/>
      <c r="L1192" s="66"/>
      <c r="M1192" s="66"/>
      <c r="N1192" s="66"/>
    </row>
    <row r="1193" spans="2:14" ht="15.75" customHeight="1">
      <c r="B1193" s="66"/>
      <c r="J1193" s="66"/>
      <c r="K1193" s="134"/>
      <c r="L1193" s="66"/>
      <c r="M1193" s="66"/>
      <c r="N1193" s="66"/>
    </row>
    <row r="1194" spans="2:14" ht="15.75" customHeight="1">
      <c r="B1194" s="66"/>
      <c r="J1194" s="66"/>
      <c r="K1194" s="134"/>
      <c r="L1194" s="66"/>
      <c r="M1194" s="66"/>
      <c r="N1194" s="66"/>
    </row>
    <row r="1195" spans="2:14" ht="15.75" customHeight="1">
      <c r="B1195" s="66"/>
      <c r="J1195" s="66"/>
      <c r="K1195" s="134"/>
      <c r="L1195" s="66"/>
      <c r="M1195" s="66"/>
      <c r="N1195" s="66"/>
    </row>
    <row r="1196" spans="2:14" ht="15.75" customHeight="1">
      <c r="B1196" s="66"/>
      <c r="J1196" s="66"/>
      <c r="K1196" s="134"/>
      <c r="L1196" s="66"/>
      <c r="M1196" s="66"/>
      <c r="N1196" s="66"/>
    </row>
    <row r="1197" spans="2:14" ht="15.75" customHeight="1">
      <c r="B1197" s="66"/>
      <c r="J1197" s="66"/>
      <c r="K1197" s="134"/>
      <c r="L1197" s="66"/>
      <c r="M1197" s="66"/>
      <c r="N1197" s="66"/>
    </row>
    <row r="1198" spans="2:14" ht="15.75" customHeight="1">
      <c r="B1198" s="66"/>
      <c r="J1198" s="66"/>
      <c r="K1198" s="134"/>
      <c r="L1198" s="66"/>
      <c r="M1198" s="66"/>
      <c r="N1198" s="66"/>
    </row>
    <row r="1199" spans="2:14" ht="15.75" customHeight="1">
      <c r="B1199" s="66"/>
      <c r="J1199" s="66"/>
      <c r="K1199" s="134"/>
      <c r="L1199" s="66"/>
      <c r="M1199" s="66"/>
      <c r="N1199" s="66"/>
    </row>
    <row r="1200" spans="2:14" ht="15.75" customHeight="1">
      <c r="B1200" s="66"/>
      <c r="J1200" s="66"/>
      <c r="K1200" s="134"/>
      <c r="L1200" s="66"/>
      <c r="M1200" s="66"/>
      <c r="N1200" s="66"/>
    </row>
    <row r="1201" spans="2:14" ht="15.75" customHeight="1">
      <c r="B1201" s="66"/>
      <c r="J1201" s="66"/>
      <c r="K1201" s="134"/>
      <c r="L1201" s="66"/>
      <c r="M1201" s="66"/>
      <c r="N1201" s="66"/>
    </row>
    <row r="1202" spans="2:14" ht="15.75" customHeight="1">
      <c r="B1202" s="66"/>
      <c r="J1202" s="66"/>
      <c r="K1202" s="134"/>
      <c r="L1202" s="66"/>
      <c r="M1202" s="66"/>
      <c r="N1202" s="66"/>
    </row>
    <row r="1203" spans="2:14" ht="15.75" customHeight="1">
      <c r="B1203" s="66"/>
      <c r="J1203" s="66"/>
      <c r="K1203" s="134"/>
      <c r="L1203" s="66"/>
      <c r="M1203" s="66"/>
      <c r="N1203" s="66"/>
    </row>
    <row r="1204" spans="2:14" ht="15.75" customHeight="1">
      <c r="B1204" s="66"/>
      <c r="J1204" s="66"/>
      <c r="K1204" s="134"/>
      <c r="L1204" s="66"/>
      <c r="M1204" s="66"/>
      <c r="N1204" s="66"/>
    </row>
    <row r="1205" spans="2:14" ht="15.75" customHeight="1">
      <c r="B1205" s="66"/>
      <c r="J1205" s="66"/>
      <c r="K1205" s="134"/>
      <c r="L1205" s="66"/>
      <c r="M1205" s="66"/>
      <c r="N1205" s="66"/>
    </row>
    <row r="1206" spans="2:14" ht="15.75" customHeight="1">
      <c r="B1206" s="66"/>
      <c r="J1206" s="66"/>
      <c r="K1206" s="134"/>
      <c r="L1206" s="66"/>
      <c r="M1206" s="66"/>
      <c r="N1206" s="66"/>
    </row>
    <row r="1207" spans="2:14" ht="15.75" customHeight="1">
      <c r="B1207" s="66"/>
      <c r="J1207" s="66"/>
      <c r="K1207" s="134"/>
      <c r="L1207" s="66"/>
      <c r="M1207" s="66"/>
      <c r="N1207" s="66"/>
    </row>
    <row r="1208" spans="2:14" ht="15.75" customHeight="1">
      <c r="B1208" s="66"/>
      <c r="J1208" s="66"/>
      <c r="K1208" s="134"/>
      <c r="L1208" s="66"/>
      <c r="M1208" s="66"/>
      <c r="N1208" s="66"/>
    </row>
    <row r="1209" spans="2:14" ht="15.75" customHeight="1">
      <c r="B1209" s="66"/>
      <c r="J1209" s="66"/>
      <c r="K1209" s="134"/>
      <c r="L1209" s="66"/>
      <c r="M1209" s="66"/>
      <c r="N1209" s="66"/>
    </row>
    <row r="1210" spans="2:14" ht="15.75" customHeight="1">
      <c r="B1210" s="66"/>
      <c r="J1210" s="66"/>
      <c r="K1210" s="134"/>
      <c r="L1210" s="66"/>
      <c r="M1210" s="66"/>
      <c r="N1210" s="66"/>
    </row>
    <row r="1211" spans="2:14" ht="15.75" customHeight="1">
      <c r="B1211" s="66"/>
      <c r="J1211" s="66"/>
      <c r="K1211" s="134"/>
      <c r="L1211" s="66"/>
      <c r="M1211" s="66"/>
      <c r="N1211" s="66"/>
    </row>
    <row r="1212" spans="2:14" ht="15.75" customHeight="1">
      <c r="B1212" s="66"/>
      <c r="J1212" s="66"/>
      <c r="K1212" s="134"/>
      <c r="L1212" s="66"/>
      <c r="M1212" s="66"/>
      <c r="N1212" s="66"/>
    </row>
    <row r="1213" spans="2:14" ht="15.75" customHeight="1">
      <c r="B1213" s="66"/>
      <c r="J1213" s="66"/>
      <c r="K1213" s="134"/>
      <c r="L1213" s="66"/>
      <c r="M1213" s="66"/>
      <c r="N1213" s="66"/>
    </row>
    <row r="1214" spans="2:14" ht="15.75" customHeight="1">
      <c r="B1214" s="66"/>
      <c r="J1214" s="66"/>
      <c r="K1214" s="134"/>
      <c r="L1214" s="66"/>
      <c r="M1214" s="66"/>
      <c r="N1214" s="66"/>
    </row>
    <row r="1215" spans="2:14" ht="15.75" customHeight="1">
      <c r="B1215" s="66"/>
      <c r="J1215" s="66"/>
      <c r="K1215" s="134"/>
      <c r="L1215" s="66"/>
      <c r="M1215" s="66"/>
      <c r="N1215" s="66"/>
    </row>
    <row r="1216" spans="2:14" ht="15.75" customHeight="1">
      <c r="B1216" s="66"/>
      <c r="J1216" s="66"/>
      <c r="K1216" s="134"/>
      <c r="L1216" s="66"/>
      <c r="M1216" s="66"/>
      <c r="N1216" s="66"/>
    </row>
    <row r="1217" spans="2:14" ht="15.75" customHeight="1">
      <c r="B1217" s="66"/>
      <c r="J1217" s="66"/>
      <c r="K1217" s="134"/>
      <c r="L1217" s="66"/>
      <c r="M1217" s="66"/>
      <c r="N1217" s="66"/>
    </row>
    <row r="1218" spans="2:14" ht="15.75" customHeight="1">
      <c r="B1218" s="66"/>
      <c r="J1218" s="66"/>
      <c r="K1218" s="134"/>
      <c r="L1218" s="66"/>
      <c r="M1218" s="66"/>
      <c r="N1218" s="66"/>
    </row>
    <row r="1219" spans="2:14" ht="15.75" customHeight="1">
      <c r="B1219" s="66"/>
      <c r="J1219" s="66"/>
      <c r="K1219" s="134"/>
      <c r="L1219" s="66"/>
      <c r="M1219" s="66"/>
      <c r="N1219" s="66"/>
    </row>
    <row r="1220" spans="2:14" ht="15.75" customHeight="1">
      <c r="B1220" s="66"/>
      <c r="J1220" s="66"/>
      <c r="K1220" s="134"/>
      <c r="L1220" s="66"/>
      <c r="M1220" s="66"/>
      <c r="N1220" s="66"/>
    </row>
    <row r="1221" spans="2:14" ht="15.75" customHeight="1">
      <c r="B1221" s="66"/>
      <c r="J1221" s="66"/>
      <c r="K1221" s="134"/>
      <c r="L1221" s="66"/>
      <c r="M1221" s="66"/>
      <c r="N1221" s="66"/>
    </row>
    <row r="1222" spans="2:14" ht="15.75" customHeight="1">
      <c r="B1222" s="66"/>
      <c r="J1222" s="66"/>
      <c r="K1222" s="134"/>
      <c r="L1222" s="66"/>
      <c r="M1222" s="66"/>
      <c r="N1222" s="66"/>
    </row>
    <row r="1223" spans="2:14" ht="15.75" customHeight="1">
      <c r="B1223" s="66"/>
      <c r="J1223" s="66"/>
      <c r="K1223" s="134"/>
      <c r="L1223" s="66"/>
      <c r="M1223" s="66"/>
      <c r="N1223" s="66"/>
    </row>
    <row r="1224" spans="2:14" ht="15.75" customHeight="1">
      <c r="B1224" s="66"/>
      <c r="J1224" s="66"/>
      <c r="K1224" s="134"/>
      <c r="L1224" s="66"/>
      <c r="M1224" s="66"/>
      <c r="N1224" s="66"/>
    </row>
    <row r="1225" spans="2:14" ht="15.75" customHeight="1">
      <c r="B1225" s="66"/>
      <c r="J1225" s="66"/>
      <c r="K1225" s="134"/>
      <c r="L1225" s="66"/>
      <c r="M1225" s="66"/>
      <c r="N1225" s="66"/>
    </row>
    <row r="1226" spans="2:14" ht="15.75" customHeight="1">
      <c r="B1226" s="66"/>
      <c r="J1226" s="66"/>
      <c r="K1226" s="134"/>
      <c r="L1226" s="66"/>
      <c r="M1226" s="66"/>
      <c r="N1226" s="66"/>
    </row>
    <row r="1227" spans="2:14" ht="15.75" customHeight="1">
      <c r="B1227" s="66"/>
      <c r="J1227" s="66"/>
      <c r="K1227" s="134"/>
      <c r="L1227" s="66"/>
      <c r="M1227" s="66"/>
      <c r="N1227" s="66"/>
    </row>
    <row r="1228" spans="2:14" ht="15.75" customHeight="1">
      <c r="B1228" s="66"/>
      <c r="J1228" s="66"/>
      <c r="K1228" s="134"/>
      <c r="L1228" s="66"/>
      <c r="M1228" s="66"/>
      <c r="N1228" s="66"/>
    </row>
    <row r="1229" spans="2:14" ht="15.75" customHeight="1">
      <c r="B1229" s="66"/>
      <c r="J1229" s="66"/>
      <c r="K1229" s="134"/>
      <c r="L1229" s="66"/>
      <c r="M1229" s="66"/>
      <c r="N1229" s="66"/>
    </row>
    <row r="1230" spans="2:14" ht="15.75" customHeight="1">
      <c r="B1230" s="66"/>
      <c r="J1230" s="66"/>
      <c r="K1230" s="134"/>
      <c r="L1230" s="66"/>
      <c r="M1230" s="66"/>
      <c r="N1230" s="66"/>
    </row>
    <row r="1231" spans="2:14" ht="15.75" customHeight="1">
      <c r="B1231" s="66"/>
      <c r="J1231" s="66"/>
      <c r="K1231" s="134"/>
      <c r="L1231" s="66"/>
      <c r="M1231" s="66"/>
      <c r="N1231" s="66"/>
    </row>
    <row r="1232" spans="2:14" ht="15.75" customHeight="1">
      <c r="B1232" s="66"/>
      <c r="J1232" s="66"/>
      <c r="K1232" s="134"/>
      <c r="L1232" s="66"/>
      <c r="M1232" s="66"/>
      <c r="N1232" s="66"/>
    </row>
    <row r="1233" spans="2:14" ht="15.75" customHeight="1">
      <c r="B1233" s="66"/>
      <c r="J1233" s="66"/>
      <c r="K1233" s="134"/>
      <c r="L1233" s="66"/>
      <c r="M1233" s="66"/>
      <c r="N1233" s="66"/>
    </row>
    <row r="1234" spans="2:14" ht="15.75" customHeight="1">
      <c r="B1234" s="66"/>
      <c r="J1234" s="66"/>
      <c r="K1234" s="134"/>
      <c r="L1234" s="66"/>
      <c r="M1234" s="66"/>
      <c r="N1234" s="66"/>
    </row>
    <row r="1235" spans="2:14" ht="15.75" customHeight="1">
      <c r="B1235" s="66"/>
      <c r="J1235" s="66"/>
      <c r="K1235" s="134"/>
      <c r="L1235" s="66"/>
      <c r="M1235" s="66"/>
      <c r="N1235" s="66"/>
    </row>
    <row r="1236" spans="2:14" ht="15.75" customHeight="1">
      <c r="B1236" s="66"/>
      <c r="J1236" s="66"/>
      <c r="K1236" s="134"/>
      <c r="L1236" s="66"/>
      <c r="M1236" s="66"/>
      <c r="N1236" s="66"/>
    </row>
    <row r="1237" spans="2:14" ht="15.75" customHeight="1">
      <c r="B1237" s="66"/>
      <c r="J1237" s="66"/>
      <c r="K1237" s="134"/>
      <c r="L1237" s="66"/>
      <c r="M1237" s="66"/>
      <c r="N1237" s="66"/>
    </row>
    <row r="1238" spans="2:14" ht="15.75" customHeight="1">
      <c r="B1238" s="66"/>
      <c r="J1238" s="66"/>
      <c r="K1238" s="134"/>
      <c r="L1238" s="66"/>
      <c r="M1238" s="66"/>
      <c r="N1238" s="66"/>
    </row>
    <row r="1239" spans="2:14" ht="15.75" customHeight="1">
      <c r="B1239" s="66"/>
      <c r="J1239" s="66"/>
      <c r="K1239" s="134"/>
      <c r="L1239" s="66"/>
      <c r="M1239" s="66"/>
      <c r="N1239" s="66"/>
    </row>
    <row r="1240" spans="2:14" ht="15.75" customHeight="1">
      <c r="B1240" s="66"/>
      <c r="J1240" s="66"/>
      <c r="K1240" s="134"/>
      <c r="L1240" s="66"/>
      <c r="M1240" s="66"/>
      <c r="N1240" s="66"/>
    </row>
    <row r="1241" spans="2:14" ht="15.75" customHeight="1">
      <c r="B1241" s="66"/>
      <c r="J1241" s="66"/>
      <c r="K1241" s="134"/>
      <c r="L1241" s="66"/>
      <c r="M1241" s="66"/>
      <c r="N1241" s="66"/>
    </row>
    <row r="1242" spans="2:14" ht="15.75" customHeight="1">
      <c r="B1242" s="66"/>
      <c r="J1242" s="66"/>
      <c r="K1242" s="134"/>
      <c r="L1242" s="66"/>
      <c r="M1242" s="66"/>
      <c r="N1242" s="66"/>
    </row>
    <row r="1243" spans="2:14" ht="15.75" customHeight="1">
      <c r="B1243" s="66"/>
      <c r="J1243" s="66"/>
      <c r="K1243" s="134"/>
      <c r="L1243" s="66"/>
      <c r="M1243" s="66"/>
      <c r="N1243" s="66"/>
    </row>
    <row r="1244" spans="2:14" ht="15.75" customHeight="1">
      <c r="B1244" s="66"/>
      <c r="J1244" s="66"/>
      <c r="K1244" s="134"/>
      <c r="L1244" s="66"/>
      <c r="M1244" s="66"/>
      <c r="N1244" s="66"/>
    </row>
    <row r="1245" spans="2:14" ht="15.75" customHeight="1">
      <c r="B1245" s="66"/>
      <c r="J1245" s="66"/>
      <c r="K1245" s="134"/>
      <c r="L1245" s="66"/>
      <c r="M1245" s="66"/>
      <c r="N1245" s="66"/>
    </row>
    <row r="1246" spans="2:14" ht="15.75" customHeight="1">
      <c r="B1246" s="66"/>
      <c r="J1246" s="66"/>
      <c r="K1246" s="134"/>
      <c r="L1246" s="66"/>
      <c r="M1246" s="66"/>
      <c r="N1246" s="66"/>
    </row>
    <row r="1247" spans="2:14" ht="15.75" customHeight="1">
      <c r="B1247" s="66"/>
      <c r="J1247" s="66"/>
      <c r="K1247" s="134"/>
      <c r="L1247" s="66"/>
      <c r="M1247" s="66"/>
      <c r="N1247" s="66"/>
    </row>
    <row r="1248" spans="2:14" ht="15.75" customHeight="1">
      <c r="B1248" s="66"/>
      <c r="J1248" s="66"/>
      <c r="K1248" s="134"/>
      <c r="L1248" s="66"/>
      <c r="M1248" s="66"/>
      <c r="N1248" s="66"/>
    </row>
    <row r="1249" spans="2:14" ht="15.75" customHeight="1">
      <c r="B1249" s="66"/>
      <c r="J1249" s="66"/>
      <c r="K1249" s="134"/>
      <c r="L1249" s="66"/>
      <c r="M1249" s="66"/>
      <c r="N1249" s="66"/>
    </row>
    <row r="1250" spans="2:14" ht="15.75" customHeight="1">
      <c r="B1250" s="66"/>
      <c r="J1250" s="66"/>
      <c r="K1250" s="134"/>
      <c r="L1250" s="66"/>
      <c r="M1250" s="66"/>
      <c r="N1250" s="66"/>
    </row>
    <row r="1251" spans="2:14" ht="15.75" customHeight="1">
      <c r="B1251" s="66"/>
      <c r="J1251" s="66"/>
      <c r="K1251" s="134"/>
      <c r="L1251" s="66"/>
      <c r="M1251" s="66"/>
      <c r="N1251" s="66"/>
    </row>
    <row r="1252" spans="2:14" ht="15.75" customHeight="1">
      <c r="B1252" s="66"/>
      <c r="J1252" s="66"/>
      <c r="K1252" s="134"/>
      <c r="L1252" s="66"/>
      <c r="M1252" s="66"/>
      <c r="N1252" s="66"/>
    </row>
    <row r="1253" spans="2:14" ht="15.75" customHeight="1">
      <c r="B1253" s="66"/>
      <c r="J1253" s="66"/>
      <c r="K1253" s="134"/>
      <c r="L1253" s="66"/>
      <c r="M1253" s="66"/>
      <c r="N1253" s="66"/>
    </row>
    <row r="1254" spans="2:14" ht="15.75" customHeight="1">
      <c r="B1254" s="66"/>
      <c r="J1254" s="66"/>
      <c r="K1254" s="134"/>
      <c r="L1254" s="66"/>
      <c r="M1254" s="66"/>
      <c r="N1254" s="66"/>
    </row>
    <row r="1255" spans="2:14" ht="15.75" customHeight="1">
      <c r="B1255" s="66"/>
      <c r="J1255" s="66"/>
      <c r="K1255" s="134"/>
      <c r="L1255" s="66"/>
      <c r="M1255" s="66"/>
      <c r="N1255" s="66"/>
    </row>
    <row r="1256" spans="2:14" ht="15.75" customHeight="1">
      <c r="B1256" s="66"/>
      <c r="J1256" s="66"/>
      <c r="K1256" s="134"/>
      <c r="L1256" s="66"/>
      <c r="M1256" s="66"/>
      <c r="N1256" s="66"/>
    </row>
    <row r="1257" spans="2:14" ht="15.75" customHeight="1">
      <c r="B1257" s="66"/>
      <c r="J1257" s="66"/>
      <c r="K1257" s="134"/>
      <c r="L1257" s="66"/>
      <c r="M1257" s="66"/>
      <c r="N1257" s="66"/>
    </row>
    <row r="1258" spans="2:14" ht="15.75" customHeight="1">
      <c r="B1258" s="66"/>
      <c r="J1258" s="66"/>
      <c r="K1258" s="134"/>
      <c r="L1258" s="66"/>
      <c r="M1258" s="66"/>
      <c r="N1258" s="66"/>
    </row>
    <row r="1259" spans="2:14" ht="15.75" customHeight="1">
      <c r="B1259" s="66"/>
      <c r="J1259" s="66"/>
      <c r="K1259" s="134"/>
      <c r="L1259" s="66"/>
      <c r="M1259" s="66"/>
      <c r="N1259" s="66"/>
    </row>
    <row r="1260" spans="2:14" ht="15.75" customHeight="1">
      <c r="B1260" s="66"/>
      <c r="J1260" s="66"/>
      <c r="K1260" s="134"/>
      <c r="L1260" s="66"/>
      <c r="M1260" s="66"/>
      <c r="N1260" s="66"/>
    </row>
    <row r="1261" spans="2:14" ht="15.75" customHeight="1">
      <c r="B1261" s="66"/>
      <c r="J1261" s="66"/>
      <c r="K1261" s="134"/>
      <c r="L1261" s="66"/>
      <c r="M1261" s="66"/>
      <c r="N1261" s="66"/>
    </row>
    <row r="1262" spans="2:14" ht="15.75" customHeight="1">
      <c r="B1262" s="66"/>
      <c r="J1262" s="66"/>
      <c r="K1262" s="134"/>
      <c r="L1262" s="66"/>
      <c r="M1262" s="66"/>
      <c r="N1262" s="66"/>
    </row>
    <row r="1263" spans="2:14" ht="15.75" customHeight="1">
      <c r="B1263" s="66"/>
      <c r="J1263" s="66"/>
      <c r="K1263" s="134"/>
      <c r="L1263" s="66"/>
      <c r="M1263" s="66"/>
      <c r="N1263" s="66"/>
    </row>
    <row r="1264" spans="2:14" ht="15.75" customHeight="1">
      <c r="B1264" s="66"/>
      <c r="J1264" s="66"/>
      <c r="K1264" s="134"/>
      <c r="L1264" s="66"/>
      <c r="M1264" s="66"/>
      <c r="N1264" s="66"/>
    </row>
    <row r="1265" spans="2:14" ht="15.75" customHeight="1">
      <c r="B1265" s="66"/>
      <c r="J1265" s="66"/>
      <c r="K1265" s="134"/>
      <c r="L1265" s="66"/>
      <c r="M1265" s="66"/>
      <c r="N1265" s="66"/>
    </row>
    <row r="1266" spans="2:14" ht="15.75" customHeight="1">
      <c r="B1266" s="66"/>
      <c r="J1266" s="66"/>
      <c r="K1266" s="134"/>
      <c r="L1266" s="66"/>
      <c r="M1266" s="66"/>
      <c r="N1266" s="66"/>
    </row>
    <row r="1267" spans="2:14" ht="15.75" customHeight="1">
      <c r="B1267" s="66"/>
      <c r="J1267" s="66"/>
      <c r="K1267" s="134"/>
      <c r="L1267" s="66"/>
      <c r="M1267" s="66"/>
      <c r="N1267" s="66"/>
    </row>
    <row r="1268" spans="2:14" ht="15.75" customHeight="1">
      <c r="B1268" s="66"/>
      <c r="J1268" s="66"/>
      <c r="K1268" s="134"/>
      <c r="L1268" s="66"/>
      <c r="M1268" s="66"/>
      <c r="N1268" s="66"/>
    </row>
    <row r="1269" spans="2:14" ht="15.75" customHeight="1">
      <c r="B1269" s="66"/>
      <c r="J1269" s="66"/>
      <c r="K1269" s="134"/>
      <c r="L1269" s="66"/>
      <c r="M1269" s="66"/>
      <c r="N1269" s="66"/>
    </row>
    <row r="1270" spans="2:14" ht="15.75" customHeight="1">
      <c r="B1270" s="66"/>
      <c r="J1270" s="66"/>
      <c r="K1270" s="134"/>
      <c r="L1270" s="66"/>
      <c r="M1270" s="66"/>
      <c r="N1270" s="66"/>
    </row>
    <row r="1271" spans="2:14" ht="15.75" customHeight="1">
      <c r="B1271" s="66"/>
      <c r="J1271" s="66"/>
      <c r="K1271" s="134"/>
      <c r="L1271" s="66"/>
      <c r="M1271" s="66"/>
      <c r="N1271" s="66"/>
    </row>
    <row r="1272" spans="2:14" ht="15.75" customHeight="1">
      <c r="B1272" s="66"/>
      <c r="J1272" s="66"/>
      <c r="K1272" s="134"/>
      <c r="L1272" s="66"/>
      <c r="M1272" s="66"/>
      <c r="N1272" s="66"/>
    </row>
    <row r="1273" spans="2:14" ht="15.75" customHeight="1">
      <c r="B1273" s="66"/>
      <c r="J1273" s="66"/>
      <c r="K1273" s="134"/>
      <c r="L1273" s="66"/>
      <c r="M1273" s="66"/>
      <c r="N1273" s="66"/>
    </row>
    <row r="1274" spans="2:14" ht="15.75" customHeight="1">
      <c r="B1274" s="66"/>
      <c r="J1274" s="66"/>
      <c r="K1274" s="134"/>
      <c r="L1274" s="66"/>
      <c r="M1274" s="66"/>
      <c r="N1274" s="66"/>
    </row>
    <row r="1275" spans="2:14" ht="15.75" customHeight="1">
      <c r="B1275" s="66"/>
      <c r="J1275" s="66"/>
      <c r="K1275" s="134"/>
      <c r="L1275" s="66"/>
      <c r="M1275" s="66"/>
      <c r="N1275" s="66"/>
    </row>
    <row r="1276" spans="2:14" ht="15.75" customHeight="1">
      <c r="B1276" s="66"/>
      <c r="J1276" s="66"/>
      <c r="K1276" s="134"/>
      <c r="L1276" s="66"/>
      <c r="M1276" s="66"/>
      <c r="N1276" s="66"/>
    </row>
    <row r="1277" spans="2:14" ht="15.75" customHeight="1">
      <c r="B1277" s="66"/>
      <c r="J1277" s="66"/>
      <c r="K1277" s="134"/>
      <c r="L1277" s="66"/>
      <c r="M1277" s="66"/>
      <c r="N1277" s="66"/>
    </row>
    <row r="1278" spans="2:14" ht="15.75" customHeight="1">
      <c r="B1278" s="66"/>
      <c r="J1278" s="66"/>
      <c r="K1278" s="134"/>
      <c r="L1278" s="66"/>
      <c r="M1278" s="66"/>
      <c r="N1278" s="66"/>
    </row>
    <row r="1279" spans="2:14" ht="15.75" customHeight="1">
      <c r="B1279" s="66"/>
      <c r="J1279" s="66"/>
      <c r="K1279" s="134"/>
      <c r="L1279" s="66"/>
      <c r="M1279" s="66"/>
      <c r="N1279" s="66"/>
    </row>
    <row r="1280" spans="2:14" ht="15.75" customHeight="1">
      <c r="B1280" s="66"/>
      <c r="J1280" s="66"/>
      <c r="K1280" s="134"/>
      <c r="L1280" s="66"/>
      <c r="M1280" s="66"/>
      <c r="N1280" s="66"/>
    </row>
    <row r="1281" spans="2:14" ht="15.75" customHeight="1">
      <c r="B1281" s="66"/>
      <c r="J1281" s="66"/>
      <c r="K1281" s="134"/>
      <c r="L1281" s="66"/>
      <c r="M1281" s="66"/>
      <c r="N1281" s="66"/>
    </row>
    <row r="1282" spans="2:14" ht="15.75" customHeight="1">
      <c r="B1282" s="66"/>
      <c r="J1282" s="66"/>
      <c r="K1282" s="134"/>
      <c r="L1282" s="66"/>
      <c r="M1282" s="66"/>
      <c r="N1282" s="66"/>
    </row>
    <row r="1283" spans="2:14" ht="15.75" customHeight="1">
      <c r="B1283" s="66"/>
      <c r="J1283" s="66"/>
      <c r="K1283" s="134"/>
      <c r="L1283" s="66"/>
      <c r="M1283" s="66"/>
      <c r="N1283" s="66"/>
    </row>
    <row r="1284" spans="2:14" ht="15.75" customHeight="1">
      <c r="B1284" s="66"/>
      <c r="J1284" s="66"/>
      <c r="K1284" s="134"/>
      <c r="L1284" s="66"/>
      <c r="M1284" s="66"/>
      <c r="N1284" s="66"/>
    </row>
    <row r="1285" spans="2:14" ht="15.75" customHeight="1">
      <c r="B1285" s="66"/>
      <c r="J1285" s="66"/>
      <c r="K1285" s="134"/>
      <c r="L1285" s="66"/>
      <c r="M1285" s="66"/>
      <c r="N1285" s="66"/>
    </row>
    <row r="1286" spans="2:14" ht="15.75" customHeight="1">
      <c r="B1286" s="66"/>
      <c r="J1286" s="66"/>
      <c r="K1286" s="134"/>
      <c r="L1286" s="66"/>
      <c r="M1286" s="66"/>
      <c r="N1286" s="66"/>
    </row>
    <row r="1287" spans="2:14" ht="15.75" customHeight="1">
      <c r="B1287" s="66"/>
      <c r="J1287" s="66"/>
      <c r="K1287" s="134"/>
      <c r="L1287" s="66"/>
      <c r="M1287" s="66"/>
      <c r="N1287" s="66"/>
    </row>
    <row r="1288" spans="2:14" ht="15.75" customHeight="1">
      <c r="B1288" s="66"/>
      <c r="J1288" s="66"/>
      <c r="K1288" s="134"/>
      <c r="L1288" s="66"/>
      <c r="M1288" s="66"/>
      <c r="N1288" s="66"/>
    </row>
    <row r="1289" spans="2:14" ht="15.75" customHeight="1">
      <c r="B1289" s="66"/>
      <c r="J1289" s="66"/>
      <c r="K1289" s="134"/>
      <c r="L1289" s="66"/>
      <c r="M1289" s="66"/>
      <c r="N1289" s="66"/>
    </row>
    <row r="1290" spans="2:14" ht="15.75" customHeight="1">
      <c r="B1290" s="66"/>
      <c r="J1290" s="66"/>
      <c r="K1290" s="134"/>
      <c r="L1290" s="66"/>
      <c r="M1290" s="66"/>
      <c r="N1290" s="66"/>
    </row>
    <row r="1291" spans="2:14" ht="15.75" customHeight="1">
      <c r="B1291" s="66"/>
      <c r="J1291" s="66"/>
      <c r="K1291" s="134"/>
      <c r="L1291" s="66"/>
      <c r="M1291" s="66"/>
      <c r="N1291" s="66"/>
    </row>
    <row r="1292" spans="2:14" ht="15.75" customHeight="1">
      <c r="B1292" s="66"/>
      <c r="J1292" s="66"/>
      <c r="K1292" s="134"/>
      <c r="L1292" s="66"/>
      <c r="M1292" s="66"/>
      <c r="N1292" s="66"/>
    </row>
    <row r="1293" spans="2:14" ht="15.75" customHeight="1">
      <c r="B1293" s="66"/>
      <c r="J1293" s="66"/>
      <c r="K1293" s="134"/>
      <c r="L1293" s="66"/>
      <c r="M1293" s="66"/>
      <c r="N1293" s="66"/>
    </row>
    <row r="1294" spans="2:14" ht="15.75" customHeight="1">
      <c r="B1294" s="66"/>
      <c r="J1294" s="66"/>
      <c r="K1294" s="134"/>
      <c r="L1294" s="66"/>
      <c r="M1294" s="66"/>
      <c r="N1294" s="66"/>
    </row>
    <row r="1295" spans="2:14" ht="15.75" customHeight="1">
      <c r="B1295" s="66"/>
      <c r="J1295" s="66"/>
      <c r="K1295" s="134"/>
      <c r="L1295" s="66"/>
      <c r="M1295" s="66"/>
      <c r="N1295" s="66"/>
    </row>
    <row r="1296" spans="2:14" ht="15.75" customHeight="1">
      <c r="B1296" s="66"/>
      <c r="J1296" s="66"/>
      <c r="K1296" s="134"/>
      <c r="L1296" s="66"/>
      <c r="M1296" s="66"/>
      <c r="N1296" s="66"/>
    </row>
    <row r="1297" spans="2:14" ht="15.75" customHeight="1">
      <c r="B1297" s="66"/>
      <c r="J1297" s="66"/>
      <c r="K1297" s="134"/>
      <c r="L1297" s="66"/>
      <c r="M1297" s="66"/>
      <c r="N1297" s="66"/>
    </row>
    <row r="1298" spans="2:14" ht="15.75" customHeight="1">
      <c r="B1298" s="66"/>
      <c r="J1298" s="66"/>
      <c r="K1298" s="134"/>
      <c r="L1298" s="66"/>
      <c r="M1298" s="66"/>
      <c r="N1298" s="66"/>
    </row>
    <row r="1299" spans="2:14" ht="15.75" customHeight="1">
      <c r="B1299" s="66"/>
      <c r="J1299" s="66"/>
      <c r="K1299" s="134"/>
      <c r="L1299" s="66"/>
      <c r="M1299" s="66"/>
      <c r="N1299" s="66"/>
    </row>
    <row r="1300" spans="2:14" ht="15.75" customHeight="1">
      <c r="B1300" s="66"/>
      <c r="J1300" s="66"/>
      <c r="K1300" s="134"/>
      <c r="L1300" s="66"/>
      <c r="M1300" s="66"/>
      <c r="N1300" s="66"/>
    </row>
    <row r="1301" spans="2:14" ht="15.75" customHeight="1">
      <c r="B1301" s="66"/>
      <c r="J1301" s="66"/>
      <c r="K1301" s="134"/>
      <c r="L1301" s="66"/>
      <c r="M1301" s="66"/>
      <c r="N1301" s="66"/>
    </row>
    <row r="1302" spans="2:14" ht="15.75" customHeight="1">
      <c r="B1302" s="66"/>
      <c r="J1302" s="66"/>
      <c r="K1302" s="134"/>
      <c r="L1302" s="66"/>
      <c r="M1302" s="66"/>
      <c r="N1302" s="66"/>
    </row>
    <row r="1303" spans="2:14" ht="15.75" customHeight="1">
      <c r="B1303" s="66"/>
      <c r="J1303" s="66"/>
      <c r="K1303" s="134"/>
      <c r="L1303" s="66"/>
      <c r="M1303" s="66"/>
      <c r="N1303" s="66"/>
    </row>
    <row r="1304" spans="2:14" ht="15.75" customHeight="1">
      <c r="B1304" s="66"/>
      <c r="J1304" s="66"/>
      <c r="K1304" s="134"/>
      <c r="L1304" s="66"/>
      <c r="M1304" s="66"/>
      <c r="N1304" s="66"/>
    </row>
    <row r="1305" spans="2:14" ht="15.75" customHeight="1">
      <c r="B1305" s="66"/>
      <c r="J1305" s="66"/>
      <c r="K1305" s="134"/>
      <c r="L1305" s="66"/>
      <c r="M1305" s="66"/>
      <c r="N1305" s="66"/>
    </row>
    <row r="1306" spans="2:14" ht="15.75" customHeight="1">
      <c r="B1306" s="66"/>
      <c r="J1306" s="66"/>
      <c r="K1306" s="134"/>
      <c r="L1306" s="66"/>
      <c r="M1306" s="66"/>
      <c r="N1306" s="66"/>
    </row>
    <row r="1307" spans="2:14" ht="15.75" customHeight="1">
      <c r="B1307" s="66"/>
      <c r="J1307" s="66"/>
      <c r="K1307" s="134"/>
      <c r="L1307" s="66"/>
      <c r="M1307" s="66"/>
      <c r="N1307" s="66"/>
    </row>
    <row r="1308" spans="2:14" ht="15.75" customHeight="1">
      <c r="B1308" s="66"/>
      <c r="J1308" s="66"/>
      <c r="K1308" s="134"/>
      <c r="L1308" s="66"/>
      <c r="M1308" s="66"/>
      <c r="N1308" s="66"/>
    </row>
    <row r="1309" spans="2:14" ht="15.75" customHeight="1">
      <c r="B1309" s="66"/>
      <c r="J1309" s="66"/>
      <c r="K1309" s="134"/>
      <c r="L1309" s="66"/>
      <c r="M1309" s="66"/>
      <c r="N1309" s="66"/>
    </row>
    <row r="1310" spans="2:14" ht="15.75" customHeight="1">
      <c r="B1310" s="66"/>
      <c r="J1310" s="66"/>
      <c r="K1310" s="134"/>
      <c r="L1310" s="66"/>
      <c r="M1310" s="66"/>
      <c r="N1310" s="66"/>
    </row>
    <row r="1311" spans="2:14" ht="15.75" customHeight="1">
      <c r="B1311" s="66"/>
      <c r="J1311" s="66"/>
      <c r="K1311" s="134"/>
      <c r="L1311" s="66"/>
      <c r="M1311" s="66"/>
      <c r="N1311" s="66"/>
    </row>
    <row r="1312" spans="2:14" ht="15.75" customHeight="1">
      <c r="B1312" s="66"/>
      <c r="J1312" s="66"/>
      <c r="K1312" s="134"/>
      <c r="L1312" s="66"/>
      <c r="M1312" s="66"/>
      <c r="N1312" s="66"/>
    </row>
    <row r="1313" spans="2:14" ht="15.75" customHeight="1">
      <c r="B1313" s="66"/>
      <c r="J1313" s="66"/>
      <c r="K1313" s="134"/>
      <c r="L1313" s="66"/>
      <c r="M1313" s="66"/>
      <c r="N1313" s="66"/>
    </row>
    <row r="1314" spans="2:14" ht="15.75" customHeight="1">
      <c r="B1314" s="66"/>
      <c r="J1314" s="66"/>
      <c r="K1314" s="134"/>
      <c r="L1314" s="66"/>
      <c r="M1314" s="66"/>
      <c r="N1314" s="66"/>
    </row>
    <row r="1315" spans="2:14" ht="15.75" customHeight="1">
      <c r="B1315" s="66"/>
      <c r="J1315" s="66"/>
      <c r="K1315" s="134"/>
      <c r="L1315" s="66"/>
      <c r="M1315" s="66"/>
      <c r="N1315" s="66"/>
    </row>
    <row r="1316" spans="2:14" ht="15.75" customHeight="1">
      <c r="B1316" s="66"/>
      <c r="J1316" s="66"/>
      <c r="K1316" s="134"/>
      <c r="L1316" s="66"/>
      <c r="M1316" s="66"/>
      <c r="N1316" s="66"/>
    </row>
    <row r="1317" spans="2:14" ht="15.75" customHeight="1">
      <c r="B1317" s="66"/>
      <c r="J1317" s="66"/>
      <c r="K1317" s="134"/>
      <c r="L1317" s="66"/>
      <c r="M1317" s="66"/>
      <c r="N1317" s="66"/>
    </row>
    <row r="1318" spans="2:14" ht="15.75" customHeight="1">
      <c r="B1318" s="66"/>
      <c r="J1318" s="66"/>
      <c r="K1318" s="134"/>
      <c r="L1318" s="66"/>
      <c r="M1318" s="66"/>
      <c r="N1318" s="66"/>
    </row>
    <row r="1319" spans="2:14" ht="15.75" customHeight="1">
      <c r="B1319" s="66"/>
      <c r="J1319" s="66"/>
      <c r="K1319" s="134"/>
      <c r="L1319" s="66"/>
      <c r="M1319" s="66"/>
      <c r="N1319" s="66"/>
    </row>
    <row r="1320" spans="2:14" ht="15.75" customHeight="1">
      <c r="B1320" s="66"/>
      <c r="J1320" s="66"/>
      <c r="K1320" s="134"/>
      <c r="L1320" s="66"/>
      <c r="M1320" s="66"/>
      <c r="N1320" s="66"/>
    </row>
    <row r="1321" spans="2:14" ht="15.75" customHeight="1">
      <c r="B1321" s="66"/>
      <c r="J1321" s="66"/>
      <c r="K1321" s="134"/>
      <c r="L1321" s="66"/>
      <c r="M1321" s="66"/>
      <c r="N1321" s="66"/>
    </row>
    <row r="1322" spans="2:14" ht="15.75" customHeight="1">
      <c r="B1322" s="66"/>
      <c r="J1322" s="66"/>
      <c r="K1322" s="134"/>
      <c r="L1322" s="66"/>
      <c r="M1322" s="66"/>
      <c r="N1322" s="66"/>
    </row>
    <row r="1323" spans="2:14" ht="15.75" customHeight="1">
      <c r="B1323" s="66"/>
      <c r="J1323" s="66"/>
      <c r="K1323" s="134"/>
      <c r="L1323" s="66"/>
      <c r="M1323" s="66"/>
      <c r="N1323" s="66"/>
    </row>
    <row r="1324" spans="2:14" ht="15.75" customHeight="1">
      <c r="B1324" s="66"/>
      <c r="J1324" s="66"/>
      <c r="K1324" s="134"/>
      <c r="L1324" s="66"/>
      <c r="M1324" s="66"/>
      <c r="N1324" s="66"/>
    </row>
    <row r="1325" spans="2:14" ht="15.75" customHeight="1">
      <c r="B1325" s="66"/>
      <c r="J1325" s="66"/>
      <c r="K1325" s="134"/>
      <c r="L1325" s="66"/>
      <c r="M1325" s="66"/>
      <c r="N1325" s="66"/>
    </row>
    <row r="1326" spans="2:14" ht="15.75" customHeight="1">
      <c r="B1326" s="66"/>
      <c r="J1326" s="66"/>
      <c r="K1326" s="134"/>
      <c r="L1326" s="66"/>
      <c r="M1326" s="66"/>
      <c r="N1326" s="66"/>
    </row>
    <row r="1327" spans="2:14" ht="15.75" customHeight="1">
      <c r="B1327" s="66"/>
      <c r="J1327" s="66"/>
      <c r="K1327" s="134"/>
      <c r="L1327" s="66"/>
      <c r="M1327" s="66"/>
      <c r="N1327" s="66"/>
    </row>
    <row r="1328" spans="2:14" ht="15.75" customHeight="1">
      <c r="B1328" s="66"/>
      <c r="J1328" s="66"/>
      <c r="K1328" s="134"/>
      <c r="L1328" s="66"/>
      <c r="M1328" s="66"/>
      <c r="N1328" s="66"/>
    </row>
    <row r="1329" spans="2:14" ht="15.75" customHeight="1">
      <c r="B1329" s="66"/>
      <c r="J1329" s="66"/>
      <c r="K1329" s="134"/>
      <c r="L1329" s="66"/>
      <c r="M1329" s="66"/>
      <c r="N1329" s="66"/>
    </row>
    <row r="1330" spans="2:14" ht="15.75" customHeight="1">
      <c r="B1330" s="66"/>
      <c r="J1330" s="66"/>
      <c r="K1330" s="134"/>
      <c r="L1330" s="66"/>
      <c r="M1330" s="66"/>
      <c r="N1330" s="66"/>
    </row>
    <row r="1331" spans="2:14" ht="15.75" customHeight="1">
      <c r="B1331" s="66"/>
      <c r="J1331" s="66"/>
      <c r="K1331" s="134"/>
      <c r="L1331" s="66"/>
      <c r="M1331" s="66"/>
      <c r="N1331" s="66"/>
    </row>
    <row r="1332" spans="2:14" ht="15.75" customHeight="1">
      <c r="B1332" s="66"/>
      <c r="J1332" s="66"/>
      <c r="K1332" s="134"/>
      <c r="L1332" s="66"/>
      <c r="M1332" s="66"/>
      <c r="N1332" s="66"/>
    </row>
    <row r="1333" spans="2:14" ht="15.75" customHeight="1">
      <c r="B1333" s="66"/>
      <c r="J1333" s="66"/>
      <c r="K1333" s="134"/>
      <c r="L1333" s="66"/>
      <c r="M1333" s="66"/>
      <c r="N1333" s="66"/>
    </row>
    <row r="1334" spans="2:14" ht="15.75" customHeight="1">
      <c r="B1334" s="66"/>
      <c r="J1334" s="66"/>
      <c r="K1334" s="134"/>
      <c r="L1334" s="66"/>
      <c r="M1334" s="66"/>
      <c r="N1334" s="66"/>
    </row>
    <row r="1335" spans="2:14" ht="15.75" customHeight="1">
      <c r="B1335" s="66"/>
      <c r="J1335" s="66"/>
      <c r="K1335" s="134"/>
      <c r="L1335" s="66"/>
      <c r="M1335" s="66"/>
      <c r="N1335" s="66"/>
    </row>
    <row r="1336" spans="2:14" ht="15.75" customHeight="1">
      <c r="B1336" s="66"/>
      <c r="J1336" s="66"/>
      <c r="K1336" s="134"/>
      <c r="L1336" s="66"/>
      <c r="M1336" s="66"/>
      <c r="N1336" s="66"/>
    </row>
    <row r="1337" spans="2:14" ht="15.75" customHeight="1">
      <c r="B1337" s="66"/>
      <c r="J1337" s="66"/>
      <c r="K1337" s="134"/>
      <c r="L1337" s="66"/>
      <c r="M1337" s="66"/>
      <c r="N1337" s="66"/>
    </row>
    <row r="1338" spans="2:14" ht="15.75" customHeight="1">
      <c r="B1338" s="66"/>
      <c r="J1338" s="66"/>
      <c r="K1338" s="134"/>
      <c r="L1338" s="66"/>
      <c r="M1338" s="66"/>
      <c r="N1338" s="66"/>
    </row>
    <row r="1339" spans="2:14" ht="15.75" customHeight="1">
      <c r="B1339" s="66"/>
      <c r="J1339" s="66"/>
      <c r="K1339" s="134"/>
      <c r="L1339" s="66"/>
      <c r="M1339" s="66"/>
      <c r="N1339" s="66"/>
    </row>
    <row r="1340" spans="2:14" ht="15.75" customHeight="1">
      <c r="B1340" s="66"/>
      <c r="J1340" s="66"/>
      <c r="K1340" s="134"/>
      <c r="L1340" s="66"/>
      <c r="M1340" s="66"/>
      <c r="N1340" s="66"/>
    </row>
    <row r="1341" spans="2:14" ht="15.75" customHeight="1">
      <c r="B1341" s="66"/>
      <c r="J1341" s="66"/>
      <c r="K1341" s="134"/>
      <c r="L1341" s="66"/>
      <c r="M1341" s="66"/>
      <c r="N1341" s="66"/>
    </row>
    <row r="1342" spans="2:14" ht="15.75" customHeight="1">
      <c r="B1342" s="66"/>
      <c r="J1342" s="66"/>
      <c r="K1342" s="134"/>
      <c r="L1342" s="66"/>
      <c r="M1342" s="66"/>
      <c r="N1342" s="66"/>
    </row>
    <row r="1343" spans="2:14" ht="15.75" customHeight="1">
      <c r="B1343" s="66"/>
      <c r="J1343" s="66"/>
      <c r="K1343" s="134"/>
      <c r="L1343" s="66"/>
      <c r="M1343" s="66"/>
      <c r="N1343" s="66"/>
    </row>
    <row r="1344" spans="2:14" ht="15.75" customHeight="1">
      <c r="B1344" s="66"/>
      <c r="J1344" s="66"/>
      <c r="K1344" s="134"/>
      <c r="L1344" s="66"/>
      <c r="M1344" s="66"/>
      <c r="N1344" s="66"/>
    </row>
    <row r="1345" spans="2:14" ht="15.75" customHeight="1">
      <c r="B1345" s="66"/>
      <c r="J1345" s="66"/>
      <c r="K1345" s="134"/>
      <c r="L1345" s="66"/>
      <c r="M1345" s="66"/>
      <c r="N1345" s="66"/>
    </row>
    <row r="1346" spans="2:14" ht="15.75" customHeight="1">
      <c r="B1346" s="66"/>
      <c r="J1346" s="66"/>
      <c r="K1346" s="134"/>
      <c r="L1346" s="66"/>
      <c r="M1346" s="66"/>
      <c r="N1346" s="66"/>
    </row>
    <row r="1347" spans="2:14" ht="15.75" customHeight="1">
      <c r="B1347" s="66"/>
      <c r="J1347" s="66"/>
      <c r="K1347" s="134"/>
      <c r="L1347" s="66"/>
      <c r="M1347" s="66"/>
      <c r="N1347" s="66"/>
    </row>
    <row r="1348" spans="2:14" ht="15.75" customHeight="1">
      <c r="B1348" s="66"/>
      <c r="J1348" s="66"/>
      <c r="K1348" s="134"/>
      <c r="L1348" s="66"/>
      <c r="M1348" s="66"/>
      <c r="N1348" s="66"/>
    </row>
    <row r="1349" spans="2:14" ht="15.75" customHeight="1">
      <c r="B1349" s="66"/>
      <c r="J1349" s="66"/>
      <c r="K1349" s="134"/>
      <c r="L1349" s="66"/>
      <c r="M1349" s="66"/>
      <c r="N1349" s="66"/>
    </row>
    <row r="1350" spans="2:14" ht="15.75" customHeight="1">
      <c r="B1350" s="66"/>
      <c r="J1350" s="66"/>
      <c r="K1350" s="134"/>
      <c r="L1350" s="66"/>
      <c r="M1350" s="66"/>
      <c r="N1350" s="66"/>
    </row>
    <row r="1351" spans="2:14" ht="15.75" customHeight="1">
      <c r="B1351" s="66"/>
      <c r="J1351" s="66"/>
      <c r="K1351" s="134"/>
      <c r="L1351" s="66"/>
      <c r="M1351" s="66"/>
      <c r="N1351" s="66"/>
    </row>
    <row r="1352" spans="2:14" ht="15.75" customHeight="1">
      <c r="B1352" s="66"/>
      <c r="J1352" s="66"/>
      <c r="K1352" s="134"/>
      <c r="L1352" s="66"/>
      <c r="M1352" s="66"/>
      <c r="N1352" s="66"/>
    </row>
    <row r="1353" spans="2:14" ht="15.75" customHeight="1">
      <c r="B1353" s="66"/>
      <c r="J1353" s="66"/>
      <c r="K1353" s="134"/>
      <c r="L1353" s="66"/>
      <c r="M1353" s="66"/>
      <c r="N1353" s="66"/>
    </row>
    <row r="1354" spans="2:14" ht="15.75" customHeight="1">
      <c r="B1354" s="66"/>
      <c r="J1354" s="66"/>
      <c r="K1354" s="134"/>
      <c r="L1354" s="66"/>
      <c r="M1354" s="66"/>
      <c r="N1354" s="66"/>
    </row>
    <row r="1355" spans="2:14" ht="15.75" customHeight="1">
      <c r="B1355" s="66"/>
      <c r="J1355" s="66"/>
      <c r="K1355" s="134"/>
      <c r="L1355" s="66"/>
      <c r="M1355" s="66"/>
      <c r="N1355" s="66"/>
    </row>
    <row r="1356" spans="2:14" ht="15.75" customHeight="1">
      <c r="B1356" s="66"/>
      <c r="J1356" s="66"/>
      <c r="K1356" s="134"/>
      <c r="L1356" s="66"/>
      <c r="M1356" s="66"/>
      <c r="N1356" s="66"/>
    </row>
    <row r="1357" spans="2:14" ht="15.75" customHeight="1">
      <c r="B1357" s="66"/>
      <c r="J1357" s="66"/>
      <c r="K1357" s="134"/>
      <c r="L1357" s="66"/>
      <c r="M1357" s="66"/>
      <c r="N1357" s="66"/>
    </row>
    <row r="1358" spans="2:14" ht="15.75" customHeight="1">
      <c r="B1358" s="66"/>
      <c r="J1358" s="66"/>
      <c r="K1358" s="134"/>
      <c r="L1358" s="66"/>
      <c r="M1358" s="66"/>
      <c r="N1358" s="66"/>
    </row>
    <row r="1359" spans="2:14" ht="15.75" customHeight="1">
      <c r="B1359" s="66"/>
      <c r="J1359" s="66"/>
      <c r="K1359" s="134"/>
      <c r="L1359" s="66"/>
      <c r="M1359" s="66"/>
      <c r="N1359" s="66"/>
    </row>
    <row r="1360" spans="2:14" ht="15.75" customHeight="1">
      <c r="B1360" s="66"/>
      <c r="J1360" s="66"/>
      <c r="K1360" s="134"/>
      <c r="L1360" s="66"/>
      <c r="M1360" s="66"/>
      <c r="N1360" s="66"/>
    </row>
    <row r="1361" spans="2:14" ht="15.75" customHeight="1">
      <c r="B1361" s="66"/>
      <c r="J1361" s="66"/>
      <c r="K1361" s="134"/>
      <c r="L1361" s="66"/>
      <c r="M1361" s="66"/>
      <c r="N1361" s="66"/>
    </row>
    <row r="1362" spans="2:14" ht="15.75" customHeight="1">
      <c r="B1362" s="66"/>
      <c r="J1362" s="66"/>
      <c r="K1362" s="134"/>
      <c r="L1362" s="66"/>
      <c r="M1362" s="66"/>
      <c r="N1362" s="66"/>
    </row>
    <row r="1363" spans="2:14" ht="15.75" customHeight="1">
      <c r="B1363" s="66"/>
      <c r="J1363" s="66"/>
      <c r="K1363" s="134"/>
      <c r="L1363" s="66"/>
      <c r="M1363" s="66"/>
      <c r="N1363" s="66"/>
    </row>
    <row r="1364" spans="2:14" ht="15.75" customHeight="1">
      <c r="B1364" s="66"/>
      <c r="J1364" s="66"/>
      <c r="K1364" s="134"/>
      <c r="L1364" s="66"/>
      <c r="M1364" s="66"/>
      <c r="N1364" s="66"/>
    </row>
    <row r="1365" spans="2:14" ht="15.75" customHeight="1">
      <c r="B1365" s="66"/>
      <c r="J1365" s="66"/>
      <c r="K1365" s="134"/>
      <c r="L1365" s="66"/>
      <c r="M1365" s="66"/>
      <c r="N1365" s="66"/>
    </row>
    <row r="1366" spans="2:14" ht="15.75" customHeight="1">
      <c r="B1366" s="66"/>
      <c r="J1366" s="66"/>
      <c r="K1366" s="134"/>
      <c r="L1366" s="66"/>
      <c r="M1366" s="66"/>
      <c r="N1366" s="66"/>
    </row>
    <row r="1367" spans="2:14" ht="15.75" customHeight="1">
      <c r="B1367" s="66"/>
      <c r="J1367" s="66"/>
      <c r="K1367" s="134"/>
      <c r="L1367" s="66"/>
      <c r="M1367" s="66"/>
      <c r="N1367" s="66"/>
    </row>
    <row r="1368" spans="2:14" ht="15.75" customHeight="1">
      <c r="B1368" s="66"/>
      <c r="J1368" s="66"/>
      <c r="K1368" s="134"/>
      <c r="L1368" s="66"/>
      <c r="M1368" s="66"/>
      <c r="N1368" s="66"/>
    </row>
    <row r="1369" spans="2:14" ht="15.75" customHeight="1">
      <c r="B1369" s="66"/>
      <c r="J1369" s="66"/>
      <c r="K1369" s="134"/>
      <c r="L1369" s="66"/>
      <c r="M1369" s="66"/>
      <c r="N1369" s="66"/>
    </row>
    <row r="1370" spans="2:14" ht="15.75" customHeight="1">
      <c r="B1370" s="66"/>
      <c r="J1370" s="66"/>
      <c r="K1370" s="134"/>
      <c r="L1370" s="66"/>
      <c r="M1370" s="66"/>
      <c r="N1370" s="66"/>
    </row>
    <row r="1371" spans="2:14" ht="15.75" customHeight="1">
      <c r="B1371" s="66"/>
      <c r="J1371" s="66"/>
      <c r="K1371" s="134"/>
      <c r="L1371" s="66"/>
      <c r="M1371" s="66"/>
      <c r="N1371" s="66"/>
    </row>
    <row r="1372" spans="2:14" ht="15.75" customHeight="1">
      <c r="B1372" s="66"/>
      <c r="J1372" s="66"/>
      <c r="K1372" s="134"/>
      <c r="L1372" s="66"/>
      <c r="M1372" s="66"/>
      <c r="N1372" s="66"/>
    </row>
    <row r="1373" spans="2:14" ht="15.75" customHeight="1">
      <c r="B1373" s="66"/>
      <c r="J1373" s="66"/>
      <c r="K1373" s="134"/>
      <c r="L1373" s="66"/>
      <c r="M1373" s="66"/>
      <c r="N1373" s="66"/>
    </row>
    <row r="1374" spans="2:14" ht="15.75" customHeight="1">
      <c r="B1374" s="66"/>
      <c r="J1374" s="66"/>
      <c r="K1374" s="134"/>
      <c r="L1374" s="66"/>
      <c r="M1374" s="66"/>
      <c r="N1374" s="66"/>
    </row>
    <row r="1375" spans="2:14" ht="15.75" customHeight="1">
      <c r="B1375" s="66"/>
      <c r="J1375" s="66"/>
      <c r="K1375" s="134"/>
      <c r="L1375" s="66"/>
      <c r="M1375" s="66"/>
      <c r="N1375" s="66"/>
    </row>
    <row r="1376" spans="2:14" ht="15.75" customHeight="1">
      <c r="B1376" s="66"/>
      <c r="J1376" s="66"/>
      <c r="K1376" s="134"/>
      <c r="L1376" s="66"/>
      <c r="M1376" s="66"/>
      <c r="N1376" s="66"/>
    </row>
    <row r="1377" spans="2:14" ht="15.75" customHeight="1">
      <c r="B1377" s="66"/>
      <c r="J1377" s="66"/>
      <c r="K1377" s="134"/>
      <c r="L1377" s="66"/>
      <c r="M1377" s="66"/>
      <c r="N1377" s="66"/>
    </row>
    <row r="1378" spans="2:14" ht="15.75" customHeight="1">
      <c r="B1378" s="66"/>
      <c r="J1378" s="66"/>
      <c r="K1378" s="134"/>
      <c r="L1378" s="66"/>
      <c r="M1378" s="66"/>
      <c r="N1378" s="66"/>
    </row>
    <row r="1379" spans="2:14" ht="15.75" customHeight="1">
      <c r="B1379" s="66"/>
      <c r="J1379" s="66"/>
      <c r="K1379" s="134"/>
      <c r="L1379" s="66"/>
      <c r="M1379" s="66"/>
      <c r="N1379" s="66"/>
    </row>
    <row r="1380" spans="2:14" ht="15.75" customHeight="1">
      <c r="B1380" s="66"/>
      <c r="J1380" s="66"/>
      <c r="K1380" s="134"/>
      <c r="L1380" s="66"/>
      <c r="M1380" s="66"/>
      <c r="N1380" s="66"/>
    </row>
    <row r="1381" spans="2:14" ht="15.75" customHeight="1">
      <c r="B1381" s="66"/>
      <c r="J1381" s="66"/>
      <c r="K1381" s="134"/>
      <c r="L1381" s="66"/>
      <c r="M1381" s="66"/>
      <c r="N1381" s="66"/>
    </row>
    <row r="1382" spans="2:14" ht="15.75" customHeight="1">
      <c r="B1382" s="66"/>
      <c r="J1382" s="66"/>
      <c r="K1382" s="134"/>
      <c r="L1382" s="66"/>
      <c r="M1382" s="66"/>
      <c r="N1382" s="66"/>
    </row>
    <row r="1383" spans="2:14" ht="15.75" customHeight="1">
      <c r="B1383" s="66"/>
      <c r="J1383" s="66"/>
      <c r="K1383" s="134"/>
      <c r="L1383" s="66"/>
      <c r="M1383" s="66"/>
      <c r="N1383" s="66"/>
    </row>
    <row r="1384" spans="2:14" ht="15.75" customHeight="1">
      <c r="B1384" s="66"/>
      <c r="J1384" s="66"/>
      <c r="K1384" s="134"/>
      <c r="L1384" s="66"/>
      <c r="M1384" s="66"/>
      <c r="N1384" s="66"/>
    </row>
    <row r="1385" spans="2:14" ht="15.75" customHeight="1">
      <c r="B1385" s="66"/>
      <c r="J1385" s="66"/>
      <c r="K1385" s="134"/>
      <c r="L1385" s="66"/>
      <c r="M1385" s="66"/>
      <c r="N1385" s="66"/>
    </row>
    <row r="1386" spans="2:14" ht="15.75" customHeight="1">
      <c r="B1386" s="66"/>
      <c r="J1386" s="66"/>
      <c r="K1386" s="134"/>
      <c r="L1386" s="66"/>
      <c r="M1386" s="66"/>
      <c r="N1386" s="66"/>
    </row>
    <row r="1387" spans="2:14" ht="15.75" customHeight="1">
      <c r="B1387" s="66"/>
      <c r="J1387" s="66"/>
      <c r="K1387" s="134"/>
      <c r="L1387" s="66"/>
      <c r="M1387" s="66"/>
      <c r="N1387" s="66"/>
    </row>
    <row r="1388" spans="2:14" ht="15.75" customHeight="1">
      <c r="B1388" s="66"/>
      <c r="J1388" s="66"/>
      <c r="K1388" s="134"/>
      <c r="L1388" s="66"/>
      <c r="M1388" s="66"/>
      <c r="N1388" s="66"/>
    </row>
    <row r="1389" spans="2:14" ht="15.75" customHeight="1">
      <c r="B1389" s="66"/>
      <c r="J1389" s="66"/>
      <c r="K1389" s="134"/>
      <c r="L1389" s="66"/>
      <c r="M1389" s="66"/>
      <c r="N1389" s="66"/>
    </row>
    <row r="1390" spans="2:14" ht="15.75" customHeight="1">
      <c r="B1390" s="66"/>
      <c r="J1390" s="66"/>
      <c r="K1390" s="134"/>
      <c r="L1390" s="66"/>
      <c r="M1390" s="66"/>
      <c r="N1390" s="66"/>
    </row>
    <row r="1391" spans="2:14" ht="15.75" customHeight="1">
      <c r="B1391" s="66"/>
      <c r="J1391" s="66"/>
      <c r="K1391" s="134"/>
      <c r="L1391" s="66"/>
      <c r="M1391" s="66"/>
      <c r="N1391" s="66"/>
    </row>
    <row r="1392" spans="2:14" ht="15.75" customHeight="1">
      <c r="B1392" s="66"/>
      <c r="J1392" s="66"/>
      <c r="K1392" s="134"/>
      <c r="L1392" s="66"/>
      <c r="M1392" s="66"/>
      <c r="N1392" s="66"/>
    </row>
    <row r="1393" spans="2:14" ht="15.75" customHeight="1">
      <c r="B1393" s="66"/>
      <c r="J1393" s="66"/>
      <c r="K1393" s="134"/>
      <c r="L1393" s="66"/>
      <c r="M1393" s="66"/>
      <c r="N1393" s="66"/>
    </row>
    <row r="1394" spans="2:14" ht="15.75" customHeight="1">
      <c r="B1394" s="66"/>
      <c r="J1394" s="66"/>
      <c r="K1394" s="134"/>
      <c r="L1394" s="66"/>
      <c r="M1394" s="66"/>
      <c r="N1394" s="66"/>
    </row>
    <row r="1395" spans="2:14" ht="15.75" customHeight="1">
      <c r="B1395" s="66"/>
      <c r="J1395" s="66"/>
      <c r="K1395" s="134"/>
      <c r="L1395" s="66"/>
      <c r="M1395" s="66"/>
      <c r="N1395" s="66"/>
    </row>
    <row r="1396" spans="2:14" ht="15.75" customHeight="1">
      <c r="B1396" s="66"/>
      <c r="J1396" s="66"/>
      <c r="K1396" s="134"/>
      <c r="L1396" s="66"/>
      <c r="M1396" s="66"/>
      <c r="N1396" s="66"/>
    </row>
    <row r="1397" spans="2:14" ht="15.75" customHeight="1">
      <c r="B1397" s="66"/>
      <c r="J1397" s="66"/>
      <c r="K1397" s="134"/>
      <c r="L1397" s="66"/>
      <c r="M1397" s="66"/>
      <c r="N1397" s="66"/>
    </row>
    <row r="1398" spans="2:14" ht="15.75" customHeight="1">
      <c r="B1398" s="66"/>
      <c r="J1398" s="66"/>
      <c r="K1398" s="134"/>
      <c r="L1398" s="66"/>
      <c r="M1398" s="66"/>
      <c r="N1398" s="66"/>
    </row>
    <row r="1399" spans="2:14" ht="15.75" customHeight="1">
      <c r="B1399" s="66"/>
      <c r="J1399" s="66"/>
      <c r="K1399" s="134"/>
      <c r="L1399" s="66"/>
      <c r="M1399" s="66"/>
      <c r="N1399" s="66"/>
    </row>
    <row r="1400" spans="2:14" ht="15.75" customHeight="1">
      <c r="B1400" s="66"/>
      <c r="J1400" s="66"/>
      <c r="K1400" s="134"/>
      <c r="L1400" s="66"/>
      <c r="M1400" s="66"/>
      <c r="N1400" s="66"/>
    </row>
    <row r="1401" spans="2:14" ht="15.75" customHeight="1">
      <c r="B1401" s="66"/>
      <c r="J1401" s="66"/>
      <c r="K1401" s="134"/>
      <c r="L1401" s="66"/>
      <c r="M1401" s="66"/>
      <c r="N1401" s="66"/>
    </row>
    <row r="1402" spans="2:14" ht="15.75" customHeight="1">
      <c r="B1402" s="66"/>
      <c r="J1402" s="66"/>
      <c r="K1402" s="134"/>
      <c r="L1402" s="66"/>
      <c r="M1402" s="66"/>
      <c r="N1402" s="66"/>
    </row>
    <row r="1403" spans="2:14" ht="15.75" customHeight="1">
      <c r="B1403" s="66"/>
      <c r="J1403" s="66"/>
      <c r="K1403" s="134"/>
      <c r="L1403" s="66"/>
      <c r="M1403" s="66"/>
      <c r="N1403" s="66"/>
    </row>
    <row r="1404" spans="2:14" ht="15.75" customHeight="1">
      <c r="B1404" s="66"/>
      <c r="J1404" s="66"/>
      <c r="K1404" s="134"/>
      <c r="L1404" s="66"/>
      <c r="M1404" s="66"/>
      <c r="N1404" s="66"/>
    </row>
    <row r="1405" spans="2:14" ht="15.75" customHeight="1">
      <c r="B1405" s="66"/>
      <c r="J1405" s="66"/>
      <c r="K1405" s="134"/>
      <c r="L1405" s="66"/>
      <c r="M1405" s="66"/>
      <c r="N1405" s="66"/>
    </row>
    <row r="1406" spans="2:14" ht="15.75" customHeight="1">
      <c r="B1406" s="66"/>
      <c r="J1406" s="66"/>
      <c r="K1406" s="134"/>
      <c r="L1406" s="66"/>
      <c r="M1406" s="66"/>
      <c r="N1406" s="66"/>
    </row>
    <row r="1407" spans="2:14" ht="15.75" customHeight="1">
      <c r="B1407" s="66"/>
      <c r="J1407" s="66"/>
      <c r="K1407" s="134"/>
      <c r="L1407" s="66"/>
      <c r="M1407" s="66"/>
      <c r="N1407" s="66"/>
    </row>
    <row r="1408" spans="2:14" ht="15.75" customHeight="1">
      <c r="B1408" s="66"/>
      <c r="J1408" s="66"/>
      <c r="K1408" s="134"/>
      <c r="L1408" s="66"/>
      <c r="M1408" s="66"/>
      <c r="N1408" s="66"/>
    </row>
    <row r="1409" spans="2:14" ht="15.75" customHeight="1">
      <c r="B1409" s="66"/>
      <c r="J1409" s="66"/>
      <c r="K1409" s="134"/>
      <c r="L1409" s="66"/>
      <c r="M1409" s="66"/>
      <c r="N1409" s="66"/>
    </row>
    <row r="1410" spans="2:14" ht="15.75" customHeight="1">
      <c r="B1410" s="66"/>
      <c r="J1410" s="66"/>
      <c r="K1410" s="134"/>
      <c r="L1410" s="66"/>
      <c r="M1410" s="66"/>
      <c r="N1410" s="66"/>
    </row>
    <row r="1411" spans="2:14" ht="15.75" customHeight="1">
      <c r="B1411" s="66"/>
      <c r="J1411" s="66"/>
      <c r="K1411" s="134"/>
      <c r="L1411" s="66"/>
      <c r="M1411" s="66"/>
      <c r="N1411" s="66"/>
    </row>
    <row r="1412" spans="2:14" ht="15.75" customHeight="1">
      <c r="B1412" s="66"/>
      <c r="J1412" s="66"/>
      <c r="K1412" s="134"/>
      <c r="L1412" s="66"/>
      <c r="M1412" s="66"/>
      <c r="N1412" s="66"/>
    </row>
    <row r="1413" spans="2:14" ht="15.75" customHeight="1">
      <c r="B1413" s="66"/>
      <c r="J1413" s="66"/>
      <c r="K1413" s="134"/>
      <c r="L1413" s="66"/>
      <c r="M1413" s="66"/>
      <c r="N1413" s="66"/>
    </row>
    <row r="1414" spans="2:14" ht="15.75" customHeight="1">
      <c r="B1414" s="66"/>
      <c r="J1414" s="66"/>
      <c r="K1414" s="134"/>
      <c r="L1414" s="66"/>
      <c r="M1414" s="66"/>
      <c r="N1414" s="66"/>
    </row>
    <row r="1415" spans="2:14" ht="15.75" customHeight="1">
      <c r="B1415" s="66"/>
      <c r="J1415" s="66"/>
      <c r="K1415" s="134"/>
      <c r="L1415" s="66"/>
      <c r="M1415" s="66"/>
      <c r="N1415" s="66"/>
    </row>
    <row r="1416" spans="2:14" ht="15.75" customHeight="1">
      <c r="B1416" s="66"/>
      <c r="J1416" s="66"/>
      <c r="K1416" s="134"/>
      <c r="L1416" s="66"/>
      <c r="M1416" s="66"/>
      <c r="N1416" s="66"/>
    </row>
    <row r="1417" spans="2:14" ht="15.75" customHeight="1">
      <c r="B1417" s="66"/>
      <c r="J1417" s="66"/>
      <c r="K1417" s="134"/>
      <c r="L1417" s="66"/>
      <c r="M1417" s="66"/>
      <c r="N1417" s="66"/>
    </row>
    <row r="1418" spans="2:14" ht="15.75" customHeight="1">
      <c r="B1418" s="66"/>
      <c r="J1418" s="66"/>
      <c r="K1418" s="134"/>
      <c r="L1418" s="66"/>
      <c r="M1418" s="66"/>
      <c r="N1418" s="66"/>
    </row>
    <row r="1419" spans="2:14" ht="15.75" customHeight="1">
      <c r="B1419" s="66"/>
      <c r="J1419" s="66"/>
      <c r="K1419" s="134"/>
      <c r="L1419" s="66"/>
      <c r="M1419" s="66"/>
      <c r="N1419" s="66"/>
    </row>
    <row r="1420" spans="2:14" ht="15.75" customHeight="1">
      <c r="B1420" s="66"/>
      <c r="J1420" s="66"/>
      <c r="K1420" s="134"/>
      <c r="L1420" s="66"/>
      <c r="M1420" s="66"/>
      <c r="N1420" s="66"/>
    </row>
    <row r="1421" spans="2:14" ht="15.75" customHeight="1">
      <c r="B1421" s="66"/>
      <c r="J1421" s="66"/>
      <c r="K1421" s="134"/>
      <c r="L1421" s="66"/>
      <c r="M1421" s="66"/>
      <c r="N1421" s="66"/>
    </row>
    <row r="1422" spans="2:14" ht="15.75" customHeight="1">
      <c r="B1422" s="66"/>
      <c r="J1422" s="66"/>
      <c r="K1422" s="134"/>
      <c r="L1422" s="66"/>
      <c r="M1422" s="66"/>
      <c r="N1422" s="66"/>
    </row>
    <row r="1423" spans="2:14" ht="15.75" customHeight="1">
      <c r="B1423" s="66"/>
      <c r="J1423" s="66"/>
      <c r="K1423" s="134"/>
      <c r="L1423" s="66"/>
      <c r="M1423" s="66"/>
      <c r="N1423" s="66"/>
    </row>
    <row r="1424" spans="2:14" ht="15.75" customHeight="1">
      <c r="B1424" s="66"/>
      <c r="J1424" s="66"/>
      <c r="K1424" s="134"/>
      <c r="L1424" s="66"/>
      <c r="M1424" s="66"/>
      <c r="N1424" s="66"/>
    </row>
    <row r="1425" spans="2:14" ht="15.75" customHeight="1">
      <c r="B1425" s="66"/>
      <c r="J1425" s="66"/>
      <c r="K1425" s="134"/>
      <c r="L1425" s="66"/>
      <c r="M1425" s="66"/>
      <c r="N1425" s="66"/>
    </row>
    <row r="1426" spans="2:14" ht="15.75" customHeight="1">
      <c r="B1426" s="66"/>
      <c r="J1426" s="66"/>
      <c r="K1426" s="134"/>
      <c r="L1426" s="66"/>
      <c r="M1426" s="66"/>
      <c r="N1426" s="66"/>
    </row>
    <row r="1427" spans="2:14" ht="15.75" customHeight="1">
      <c r="B1427" s="66"/>
      <c r="J1427" s="66"/>
      <c r="K1427" s="134"/>
      <c r="L1427" s="66"/>
      <c r="M1427" s="66"/>
      <c r="N1427" s="66"/>
    </row>
    <row r="1428" spans="2:14" ht="15.75" customHeight="1">
      <c r="B1428" s="66"/>
      <c r="J1428" s="66"/>
      <c r="K1428" s="134"/>
      <c r="L1428" s="66"/>
      <c r="M1428" s="66"/>
      <c r="N1428" s="66"/>
    </row>
    <row r="1429" spans="2:14" ht="15.75" customHeight="1">
      <c r="B1429" s="66"/>
      <c r="J1429" s="66"/>
      <c r="K1429" s="134"/>
      <c r="L1429" s="66"/>
      <c r="M1429" s="66"/>
      <c r="N1429" s="66"/>
    </row>
    <row r="1430" spans="2:14" ht="15.75" customHeight="1">
      <c r="B1430" s="66"/>
      <c r="J1430" s="66"/>
      <c r="K1430" s="134"/>
      <c r="L1430" s="66"/>
      <c r="M1430" s="66"/>
      <c r="N1430" s="66"/>
    </row>
    <row r="1431" spans="2:14" ht="15.75" customHeight="1">
      <c r="B1431" s="66"/>
      <c r="J1431" s="66"/>
      <c r="K1431" s="134"/>
      <c r="L1431" s="66"/>
      <c r="M1431" s="66"/>
      <c r="N1431" s="66"/>
    </row>
    <row r="1432" spans="2:14" ht="15.75" customHeight="1">
      <c r="B1432" s="66"/>
      <c r="J1432" s="66"/>
      <c r="K1432" s="134"/>
      <c r="L1432" s="66"/>
      <c r="M1432" s="66"/>
      <c r="N1432" s="66"/>
    </row>
    <row r="1433" spans="2:14" ht="15.75" customHeight="1">
      <c r="B1433" s="66"/>
      <c r="J1433" s="66"/>
      <c r="K1433" s="134"/>
      <c r="L1433" s="66"/>
      <c r="M1433" s="66"/>
      <c r="N1433" s="66"/>
    </row>
    <row r="1434" spans="2:14" ht="15.75" customHeight="1">
      <c r="B1434" s="66"/>
      <c r="J1434" s="66"/>
      <c r="K1434" s="134"/>
      <c r="L1434" s="66"/>
      <c r="M1434" s="66"/>
      <c r="N1434" s="66"/>
    </row>
    <row r="1435" spans="2:14" ht="15.75" customHeight="1">
      <c r="B1435" s="66"/>
      <c r="J1435" s="66"/>
      <c r="K1435" s="134"/>
      <c r="L1435" s="66"/>
      <c r="M1435" s="66"/>
      <c r="N1435" s="66"/>
    </row>
    <row r="1436" spans="2:14" ht="15.75" customHeight="1">
      <c r="B1436" s="66"/>
      <c r="J1436" s="66"/>
      <c r="K1436" s="134"/>
      <c r="L1436" s="66"/>
      <c r="M1436" s="66"/>
      <c r="N1436" s="66"/>
    </row>
    <row r="1437" spans="2:14" ht="15.75" customHeight="1">
      <c r="B1437" s="66"/>
      <c r="J1437" s="66"/>
      <c r="K1437" s="134"/>
      <c r="L1437" s="66"/>
      <c r="M1437" s="66"/>
      <c r="N1437" s="66"/>
    </row>
    <row r="1438" spans="2:14" ht="15.75" customHeight="1">
      <c r="B1438" s="66"/>
      <c r="J1438" s="66"/>
      <c r="K1438" s="134"/>
      <c r="L1438" s="66"/>
      <c r="M1438" s="66"/>
      <c r="N1438" s="66"/>
    </row>
    <row r="1439" spans="2:14" ht="15.75" customHeight="1">
      <c r="B1439" s="66"/>
      <c r="J1439" s="66"/>
      <c r="K1439" s="134"/>
      <c r="L1439" s="66"/>
      <c r="M1439" s="66"/>
      <c r="N1439" s="66"/>
    </row>
    <row r="1440" spans="2:14" ht="15.75" customHeight="1">
      <c r="B1440" s="66"/>
      <c r="J1440" s="66"/>
      <c r="K1440" s="134"/>
      <c r="L1440" s="66"/>
      <c r="M1440" s="66"/>
      <c r="N1440" s="66"/>
    </row>
    <row r="1441" spans="2:14" ht="15.75" customHeight="1">
      <c r="B1441" s="66"/>
      <c r="J1441" s="66"/>
      <c r="K1441" s="134"/>
      <c r="L1441" s="66"/>
      <c r="M1441" s="66"/>
      <c r="N1441" s="66"/>
    </row>
    <row r="1442" spans="2:14" ht="15.75" customHeight="1">
      <c r="B1442" s="66"/>
      <c r="J1442" s="66"/>
      <c r="K1442" s="134"/>
      <c r="L1442" s="66"/>
      <c r="M1442" s="66"/>
      <c r="N1442" s="66"/>
    </row>
    <row r="1443" spans="2:14" ht="15.75" customHeight="1">
      <c r="B1443" s="66"/>
      <c r="J1443" s="66"/>
      <c r="K1443" s="134"/>
      <c r="L1443" s="66"/>
      <c r="M1443" s="66"/>
      <c r="N1443" s="66"/>
    </row>
    <row r="1444" spans="2:14" ht="15.75" customHeight="1">
      <c r="B1444" s="66"/>
      <c r="J1444" s="66"/>
      <c r="K1444" s="134"/>
      <c r="L1444" s="66"/>
      <c r="M1444" s="66"/>
      <c r="N1444" s="66"/>
    </row>
    <row r="1445" spans="2:14" ht="15.75" customHeight="1">
      <c r="B1445" s="66"/>
      <c r="J1445" s="66"/>
      <c r="K1445" s="134"/>
      <c r="L1445" s="66"/>
      <c r="M1445" s="66"/>
      <c r="N1445" s="66"/>
    </row>
    <row r="1446" spans="2:14" ht="15.75" customHeight="1">
      <c r="B1446" s="66"/>
      <c r="J1446" s="66"/>
      <c r="K1446" s="134"/>
      <c r="L1446" s="66"/>
      <c r="M1446" s="66"/>
      <c r="N1446" s="66"/>
    </row>
    <row r="1447" spans="2:14" ht="15.75" customHeight="1">
      <c r="B1447" s="66"/>
      <c r="J1447" s="66"/>
      <c r="K1447" s="134"/>
      <c r="L1447" s="66"/>
      <c r="M1447" s="66"/>
      <c r="N1447" s="66"/>
    </row>
    <row r="1448" spans="2:14" ht="15.75" customHeight="1">
      <c r="B1448" s="66"/>
      <c r="J1448" s="66"/>
      <c r="K1448" s="134"/>
      <c r="L1448" s="66"/>
      <c r="M1448" s="66"/>
      <c r="N1448" s="66"/>
    </row>
  </sheetData>
  <autoFilter ref="A1:R493" xr:uid="{00000000-0009-0000-0000-000000000000}"/>
  <conditionalFormatting sqref="G2:G62 H63 G64:G493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ataValidations count="1">
    <dataValidation type="list" allowBlank="1" showErrorMessage="1" sqref="R1:R241" xr:uid="{00000000-0002-0000-0000-000000000000}">
      <formula1>"Pending,Approved"</formula1>
    </dataValidation>
  </dataValidations>
  <hyperlinks>
    <hyperlink ref="D148" r:id="rId1" xr:uid="{00000000-0004-0000-0000-000000000000}"/>
    <hyperlink ref="D152" r:id="rId2" xr:uid="{00000000-0004-0000-0000-000001000000}"/>
    <hyperlink ref="D154" r:id="rId3" xr:uid="{00000000-0004-0000-0000-000002000000}"/>
    <hyperlink ref="D155" r:id="rId4" xr:uid="{00000000-0004-0000-0000-000003000000}"/>
    <hyperlink ref="D159" r:id="rId5" xr:uid="{00000000-0004-0000-0000-000004000000}"/>
    <hyperlink ref="D161" r:id="rId6" xr:uid="{00000000-0004-0000-0000-000005000000}"/>
    <hyperlink ref="D162" r:id="rId7" xr:uid="{00000000-0004-0000-0000-000006000000}"/>
    <hyperlink ref="D164" r:id="rId8" xr:uid="{00000000-0004-0000-0000-000007000000}"/>
    <hyperlink ref="D165" r:id="rId9" xr:uid="{00000000-0004-0000-0000-000008000000}"/>
    <hyperlink ref="D167" r:id="rId10" xr:uid="{00000000-0004-0000-0000-000009000000}"/>
    <hyperlink ref="D170" r:id="rId11" xr:uid="{00000000-0004-0000-0000-00000A000000}"/>
    <hyperlink ref="D173" r:id="rId12" xr:uid="{00000000-0004-0000-0000-00000B000000}"/>
    <hyperlink ref="D176" r:id="rId13" xr:uid="{00000000-0004-0000-0000-00000C000000}"/>
    <hyperlink ref="D177" r:id="rId14" xr:uid="{00000000-0004-0000-0000-00000D000000}"/>
    <hyperlink ref="D178" r:id="rId15" xr:uid="{00000000-0004-0000-0000-00000E000000}"/>
    <hyperlink ref="D185" r:id="rId16" xr:uid="{00000000-0004-0000-0000-00000F000000}"/>
    <hyperlink ref="D210" r:id="rId17" xr:uid="{00000000-0004-0000-0000-000010000000}"/>
    <hyperlink ref="D211" r:id="rId18" xr:uid="{00000000-0004-0000-0000-000011000000}"/>
    <hyperlink ref="D218" r:id="rId19" xr:uid="{00000000-0004-0000-0000-000012000000}"/>
    <hyperlink ref="D226" r:id="rId20" xr:uid="{00000000-0004-0000-0000-000013000000}"/>
    <hyperlink ref="C341" r:id="rId21" xr:uid="{00000000-0004-0000-0000-000014000000}"/>
  </hyperlinks>
  <pageMargins left="0.7" right="0.7" top="0.75" bottom="0.75" header="0.3" footer="0.3"/>
  <legacyDrawing r:id="rId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Bhatt</cp:lastModifiedBy>
  <dcterms:modified xsi:type="dcterms:W3CDTF">2026-03-03T09:25:20Z</dcterms:modified>
</cp:coreProperties>
</file>